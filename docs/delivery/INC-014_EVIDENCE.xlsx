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aea8399e4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f56cc94a0c847cb"/>
    <x:sheet xmlns:r="http://schemas.openxmlformats.org/officeDocument/2006/relationships" name="Dashboard" sheetId="2" r:id="R562e8cd5bb4a4c16"/>
    <x:sheet xmlns:r="http://schemas.openxmlformats.org/officeDocument/2006/relationships" name="Feature Tracker" sheetId="3" r:id="R88f8cbbeb7544631"/>
    <x:sheet xmlns:r="http://schemas.openxmlformats.org/officeDocument/2006/relationships" name="Capacity Model" sheetId="4" r:id="R3a148ff54b984c60"/>
    <x:sheet xmlns:r="http://schemas.openxmlformats.org/officeDocument/2006/relationships" name="Release Gates" sheetId="5" r:id="R4ce1fd7cc3944214"/>
    <x:sheet xmlns:r="http://schemas.openxmlformats.org/officeDocument/2006/relationships" name="Approval Gates" sheetId="6" r:id="R710a0038a9a14b83"/>
    <x:sheet xmlns:r="http://schemas.openxmlformats.org/officeDocument/2006/relationships" name="Traceability" sheetId="7" r:id="Re0e5344d944445e8"/>
    <x:sheet xmlns:r="http://schemas.openxmlformats.org/officeDocument/2006/relationships" name="Sources" sheetId="8" r:id="R29712e7b0372434e"/>
    <x:sheet xmlns:d3p1="http://schemas.openxmlformats.org/officeDocument/2006/relationships" name="INC-014 Evidence" sheetId="9" d3p1:id="rIdInc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"/>
    <x:numFmt numFmtId="202" formatCode="yyyy-mm-dd"/>
    <x:numFmt numFmtId="203" formatCode="#,##0.00"/>
    <x:numFmt numFmtId="204" formatCode="0.0%"/>
    <x:numFmt numFmtId="205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223242"/>
      <x:name val="Carlito"/>
    </x:font>
    <x:font>
      <x:b/>
      <x:sz val="10"/>
      <x:color rgb="FFFFFFFF"/>
      <x:name val="Carlito"/>
    </x:font>
    <x:font>
      <x:sz val="10"/>
      <x:color rgb="FF1D4ED8"/>
      <x:name val="Carlito"/>
    </x:font>
    <x:font>
      <x:b/>
      <x:sz val="21"/>
      <x:color rgb="FF17324D"/>
      <x:name val="Carlito"/>
    </x:font>
    <x:font>
      <x:sz val="10"/>
      <x:name val="Carlito"/>
    </x:font>
    <x:font>
      <x:b/>
      <x:sz val="11"/>
      <x:color rgb="FF17324D"/>
      <x:name val="Carlito"/>
    </x:font>
    <x:font>
      <x:sz val="11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4F7"/>
      </x:patternFill>
    </x:fill>
    <x:fill>
      <x:patternFill patternType="solid">
        <x:fgColor rgb="FF176B79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3" fontId="6" fillId="0" borderId="1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 applyAlignment="1">
      <x:alignment vertical="center" wrapText="1"/>
    </x:xf>
    <x:xf numFmtId="205" fontId="6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DE8E7"/>
        </x:patternFill>
      </x:fill>
    </x:dxf>
    <x:dxf>
      <x:fill>
        <x:patternFill patternType="solid">
          <x:bgColor rgb="FFDDF0E5"/>
        </x:patternFill>
      </x:fill>
    </x:dxf>
    <x:dxf>
      <x:font>
        <x:b/>
      </x:font>
      <x:fill>
        <x:patternFill patternType="solid">
          <x:bgColor rgb="FFFDE8E7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ba13b1962c394224" /><Relationship Type="http://schemas.openxmlformats.org/officeDocument/2006/relationships/theme" Target="/xl/theme/theme1.xml" Id="Re08d01fe29b04389" /><Relationship Type="http://schemas.openxmlformats.org/officeDocument/2006/relationships/sharedStrings" Target="/xl/sharedStrings.xml" Id="R9c56e2ae6ef94db9" /><Relationship Type="http://schemas.openxmlformats.org/officeDocument/2006/relationships/worksheet" Target="/xl/worksheets/sheet1.xml" Id="Ref56cc94a0c847cb" /><Relationship Type="http://schemas.openxmlformats.org/officeDocument/2006/relationships/worksheet" Target="/xl/worksheets/sheet2.xml" Id="R562e8cd5bb4a4c16" /><Relationship Type="http://schemas.openxmlformats.org/officeDocument/2006/relationships/worksheet" Target="/xl/worksheets/sheet3.xml" Id="R88f8cbbeb7544631" /><Relationship Type="http://schemas.openxmlformats.org/officeDocument/2006/relationships/worksheet" Target="/xl/worksheets/sheet4.xml" Id="R3a148ff54b984c60" /><Relationship Type="http://schemas.openxmlformats.org/officeDocument/2006/relationships/worksheet" Target="/xl/worksheets/sheet5.xml" Id="R4ce1fd7cc3944214" /><Relationship Type="http://schemas.openxmlformats.org/officeDocument/2006/relationships/worksheet" Target="/xl/worksheets/sheet6.xml" Id="R710a0038a9a14b83" /><Relationship Type="http://schemas.openxmlformats.org/officeDocument/2006/relationships/worksheet" Target="/xl/worksheets/sheet7.xml" Id="Re0e5344d944445e8" /><Relationship Type="http://schemas.openxmlformats.org/officeDocument/2006/relationships/worksheet" Target="/xl/worksheets/sheet8.xml" Id="R29712e7b0372434e" /><Relationship Id="rIdInc014" Type="http://schemas.openxmlformats.org/officeDocument/2006/relationships/worksheet" Target="/xl/worksheets/sheet9.xml" /></Relationships>
</file>

<file path=xl/tables/table1.xml><?xml version="1.0" encoding="utf-8"?>
<x:table xmlns:x="http://schemas.openxmlformats.org/spreadsheetml/2006/main" id="1" name="FeatureDelivery" displayName="FeatureDelivery" ref="A5:U267" headerRowCount="1" totalsRowCount="0" totalsRowShown="0">
  <x:tableColumns count="21">
    <x:tableColumn id="1" name="Task ID"/>
    <x:tableColumn id="2" name="Domain"/>
    <x:tableColumn id="3" name="Feature / work package"/>
    <x:tableColumn id="4" name="Gate"/>
    <x:tableColumn id="5" name="Priority"/>
    <x:tableColumn id="6" name="Squad"/>
    <x:tableColumn id="7" name="Assignee"/>
    <x:tableColumn id="8" name="Predecessor IDs"/>
    <x:tableColumn id="9" name="Status"/>
    <x:tableColumn id="10" name="Verified completion"/>
    <x:tableColumn id="11" name="Acceptance criteria"/>
    <x:tableColumn id="12" name="Proposed code ownership"/>
    <x:tableColumn id="13" name="Acceptance test ID"/>
    <x:tableColumn id="14" name="Evidence link"/>
    <x:tableColumn id="15" name="Estimate days"/>
    <x:tableColumn id="16" name="Start date"/>
    <x:tableColumn id="17" name="Due date"/>
    <x:tableColumn id="18" name="Sources"/>
    <x:tableColumn id="19" name="Notes"/>
    <x:tableColumn id="20" name="Evidence gate"/>
    <x:tableColumn id="21" name="Overdue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GateRegister" displayName="ReleaseGateRegister" ref="A5:G10" headerRowCount="1" totalsRowCount="0" totalsRowShown="0">
  <x:tableColumns count="7">
    <x:tableColumn id="1" name="Gate"/>
    <x:tableColumn id="2" name="Name"/>
    <x:tableColumn id="3" name="Accountable roles"/>
    <x:tableColumn id="4" name="Scope"/>
    <x:tableColumn id="5" name="Exit evidence"/>
    <x:tableColumn id="6" name="Status"/>
    <x:tableColumn id="7" name="Evidence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rovalDecisionRegister" displayName="ApprovalDecisionRegister" ref="A5:G17" headerRowCount="1" totalsRowCount="0" totalsRowShown="0">
  <x:tableColumns count="7">
    <x:tableColumn id="1" name="Decision ID"/>
    <x:tableColumn id="2" name="Decision"/>
    <x:tableColumn id="3" name="Accountable roles"/>
    <x:tableColumn id="4" name="Required evidence"/>
    <x:tableColumn id="5" name="Gate"/>
    <x:tableColumn id="6" name="Status"/>
    <x:tableColumn id="7" name="Evidence li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Traceability" displayName="SourceTraceability" ref="A5:F66" headerRowCount="1" totalsRowCount="0" totalsRowShown="0">
  <x:tableColumns count="6">
    <x:tableColumn id="1" name="Source section"/>
    <x:tableColumn id="2" name="Approved source heading"/>
    <x:tableColumn id="3" name="Type"/>
    <x:tableColumn id="4" name="Work-package groups"/>
    <x:tableColumn id="5" name="Architecture sections"/>
    <x:tableColumn id="6" name="Interpretation / constra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Sources" displayName="ResearchSources" ref="A5:E40" headerRowCount="1" totalsRowCount="0" totalsRowShown="0">
  <x:tableColumns count="5">
    <x:tableColumn id="1" name="Source ID"/>
    <x:tableColumn id="2" name="Source / title"/>
    <x:tableColumn id="3" name="URL / uploaded filename"/>
    <x:tableColumn id="4" name="Used for"/>
    <x:tableColumn id="5" name="Retrieva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621e61b898345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970a9cd52bc42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3baf51275f747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7b0b0d9197f47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aa4a9b589c0460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34" customHeight="1">
      <x:c r="A1" s="4" t="str">
        <x:v>DELIVERY BASELINE 1.0</x:v>
      </x:c>
      <x:c r="B1" s="4"/>
      <x:c r="C1" s="4"/>
      <x:c r="D1" s="4"/>
      <x:c r="E1" s="4"/>
      <x:c r="F1" s="4"/>
    </x:row>
    <x:row r="2" ht="36" customHeight="1">
      <x:c r="A2" s="11" t="str">
        <x:v>7 September 2026 | 262 work packages | 27 domains | All implementation statuses start at Not started</x:v>
      </x:c>
      <x:c r="B2" s="11"/>
      <x:c r="C2" s="11"/>
      <x:c r="D2" s="11"/>
      <x:c r="E2" s="11"/>
      <x:c r="F2" s="11"/>
    </x:row>
    <x:row r="5" ht="30" customHeight="1">
      <x:c r="A5" s="19" t="str">
        <x:v>Section</x:v>
      </x:c>
      <x:c r="B5" s="19" t="str">
        <x:v>How to use</x:v>
      </x:c>
    </x:row>
    <x:row r="6" ht="48" customHeight="1">
      <x:c r="A6" s="25" t="str">
        <x:v>Architecture</x:v>
      </x:c>
      <x:c r="B6" s="25" t="str">
        <x:v>Read Customer_Action_OS_Production_Architecture_v1.docx first. This workbook is the editable task and evidence register.</x:v>
      </x:c>
    </x:row>
    <x:row r="7" ht="48" customHeight="1">
      <x:c r="A7" s="25" t="str">
        <x:v>Feature Tracker</x:v>
      </x:c>
      <x:c r="B7" s="25" t="str">
        <x:v>Filter by domain, gate, squad or status. Assign people, estimate effort, set dates and link implementation/test evidence.</x:v>
      </x:c>
    </x:row>
    <x:row r="8" ht="48" customHeight="1">
      <x:c r="A8" s="25" t="str">
        <x:v>Status</x:v>
      </x:c>
      <x:c r="B8" s="25" t="str">
        <x:v>Use Not started, In progress, Blocked, Review or Done. Done requires implementation, tests, review, documentation and release evidence.</x:v>
      </x:c>
    </x:row>
    <x:row r="9" ht="48" customHeight="1">
      <x:c r="A9" s="25" t="str">
        <x:v>Verified completion</x:v>
      </x:c>
      <x:c r="B9" s="25" t="str">
        <x:v>Completion counts Done rows only when an evidence link exists. A link still requires independent reviewer validation.</x:v>
      </x:c>
    </x:row>
    <x:row r="10" ht="48" customHeight="1">
      <x:c r="A10" s="25" t="str">
        <x:v>Evidence gate</x:v>
      </x:c>
      <x:c r="B10" s="25" t="str">
        <x:v>A Done item without an evidence link is flagged MISSING EVIDENCE. External approval is a separate gate.</x:v>
      </x:c>
    </x:row>
    <x:row r="11" ht="48" customHeight="1">
      <x:c r="A11" s="25" t="str">
        <x:v>Scope traceability</x:v>
      </x:c>
      <x:c r="B11" s="25" t="str">
        <x:v>All 61 numbered sections of the approved plan map to work-package groups and architecture sections.</x:v>
      </x:c>
    </x:row>
    <x:row r="12" ht="48" customHeight="1">
      <x:c r="A12" s="25" t="str">
        <x:v>Capacity Model</x:v>
      </x:c>
      <x:c r="B12" s="25" t="str">
        <x:v>Blue input cells are editable assumptions. Derived rates, storage and cell counts use formulas. This is not benchmark evidence.</x:v>
      </x:c>
    </x:row>
    <x:row r="13" ht="48" customHeight="1">
      <x:c r="A13" s="25" t="str">
        <x:v>Release Gates</x:v>
      </x:c>
      <x:c r="B13" s="25" t="str">
        <x:v>G0–G3 sequence implementation; G4 separately certifies actual fleet scale. No feature completion proves provider permission.</x:v>
      </x:c>
    </x:row>
    <x:row r="14" ht="48" customHeight="1">
      <x:c r="A14" s="25" t="str">
        <x:v>Approval Gates</x:v>
      </x:c>
      <x:c r="B14" s="25" t="str">
        <x:v>Open decisions and required provider, legal and engineering evidence must be resolved by named owners.</x:v>
      </x:c>
    </x:row>
    <x:row r="15" ht="48" customHeight="1">
      <x:c r="A15" s="25" t="str">
        <x:v>Source register</x:v>
      </x:c>
      <x:c r="B15" s="25" t="str">
        <x:v>Official URLs, retrieval status and limitations are recorded. Some Meta developer pages were not retrievable.</x:v>
      </x:c>
    </x:row>
    <x:row r="16" ht="48" customHeight="1">
      <x:c r="A16" s="25" t="str">
        <x:v>Safe edits</x:v>
      </x:c>
      <x:c r="B16" s="25" t="str">
        <x:v>Keep task IDs stable. Add child tickets in your project system rather than silently deleting baseline requirements.</x:v>
      </x:c>
    </x:row>
    <x:row r="17" ht="48" customHeight="1">
      <x:c r="A17" s="25" t="str">
        <x:v>Proposed code paths</x:v>
      </x:c>
      <x:c r="B17" s="25" t="str">
        <x:v>Paths are target module ownership only. No existing code repository was inspected, modified or certified.</x:v>
      </x:c>
    </x:row>
    <x:row r="18" ht="48" customHeight="1">
      <x:c r="A18" s="25" t="str">
        <x:v>Commercial boundary</x:v>
      </x:c>
      <x:c r="B18" s="25" t="str">
        <x:v>10m tenants / 10b messages per day is a design target. Meta approval, quotas, cost and load certification remain uncompleted.</x:v>
      </x:c>
    </x:row>
    <x:row r="19" ht="48" customHeight="1">
      <x:c r="A19" s="25" t="str">
        <x:v>Progress claim</x:v>
      </x:c>
      <x:c r="B19" s="25" t="str">
        <x:v>No rows were marked implemented or approved. Owner, estimate, date and evidence fields are intentionally blank.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DELIVERY COMMAND CENTER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Verified completion requires Done + an evidence link. Reviewer validation and provider approval remain separate.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19" t="str">
        <x:v>Total tasks</x:v>
      </x:c>
      <x:c r="B4" s="19" t="str">
        <x:v>Verified done</x:v>
      </x:c>
      <x:c r="C4" s="19" t="str">
        <x:v>Verified %</x:v>
      </x:c>
      <x:c r="D4" s="19" t="str">
        <x:v>In progress</x:v>
      </x:c>
      <x:c r="E4" s="19" t="str">
        <x:v>Blocked</x:v>
      </x:c>
      <x:c r="F4" s="19" t="str">
        <x:v>In review</x:v>
      </x:c>
      <x:c r="G4" s="19" t="str">
        <x:v>No assignee</x:v>
      </x:c>
      <x:c r="H4" s="19" t="str">
        <x:v>Done / no evidence</x:v>
      </x:c>
    </x:row>
    <x:row r="5" ht="39" customHeight="1">
      <x:c r="A5" s="45" t="n">
        <x:f>COUNTA('Feature Tracker'!A6:A267)</x:f>
        <x:v>262</x:v>
      </x:c>
      <x:c r="B5" s="45" t="n">
        <x:f>SUM('Feature Tracker'!J6:J267)</x:f>
        <x:v>0</x:v>
      </x:c>
      <x:c r="C5" s="47" t="n">
        <x:f>IFERROR(B5/A5,0)</x:f>
        <x:v>0</x:v>
      </x:c>
      <x:c r="D5" s="45" t="n">
        <x:f>COUNTIF('Feature Tracker'!I6:I267,"In progress")</x:f>
        <x:v>0</x:v>
      </x:c>
      <x:c r="E5" s="45" t="n">
        <x:f>COUNTIF('Feature Tracker'!I6:I267,"Blocked")</x:f>
        <x:v>0</x:v>
      </x:c>
      <x:c r="F5" s="45" t="n">
        <x:f>COUNTIF('Feature Tracker'!I6:I267,"Review")</x:f>
        <x:v>0</x:v>
      </x:c>
      <x:c r="G5" s="45" t="n">
        <x:f>COUNTBLANK('Feature Tracker'!G6:G267)</x:f>
        <x:v>262</x:v>
      </x:c>
      <x:c r="H5" s="45" t="n">
        <x:f>COUNTIFS('Feature Tracker'!I6:I267,"Done",'Feature Tracker'!N6:N267,"")</x:f>
        <x:v>0</x:v>
      </x:c>
    </x:row>
    <x:row r="8" ht="30" customHeight="1">
      <x:c r="A8" s="19" t="str">
        <x:v>Domain</x:v>
      </x:c>
      <x:c r="B8" s="19" t="str">
        <x:v>Tasks</x:v>
      </x:c>
      <x:c r="C8" s="19" t="str">
        <x:v>Verified done</x:v>
      </x:c>
      <x:c r="D8" s="19" t="str">
        <x:v>Verified %</x:v>
      </x:c>
      <x:c r="E8" s="19" t="str">
        <x:v>In progress</x:v>
      </x:c>
      <x:c r="F8" s="19" t="str">
        <x:v>Blocked</x:v>
      </x:c>
      <x:c r="G8" s="19" t="str">
        <x:v>Review</x:v>
      </x:c>
      <x:c r="H8" s="19" t="str">
        <x:v>Not started</x:v>
      </x:c>
    </x:row>
    <x:row r="9" ht="27" customHeight="1">
      <x:c r="A9" s="53" t="str">
        <x:v>Architecture and governance</x:v>
      </x:c>
      <x:c r="B9" s="53" t="n">
        <x:f>COUNTIF('Feature Tracker'!B6:B267,A9)</x:f>
        <x:v>7</x:v>
      </x:c>
      <x:c r="C9" s="53" t="n">
        <x:f>SUMIF('Feature Tracker'!B6:B267,A9,'Feature Tracker'!J6:J267)</x:f>
        <x:v>0</x:v>
      </x:c>
      <x:c r="D9" s="54" t="n">
        <x:f>IFERROR(C9/B9,0)</x:f>
        <x:v>0</x:v>
      </x:c>
      <x:c r="E9" s="53" t="n">
        <x:f>COUNTIFS('Feature Tracker'!B6:B267,A9,'Feature Tracker'!I6:I267,"In progress")</x:f>
        <x:v>0</x:v>
      </x:c>
      <x:c r="F9" s="53" t="n">
        <x:f>COUNTIFS('Feature Tracker'!B6:B267,A9,'Feature Tracker'!I6:I267,"Blocked")</x:f>
        <x:v>0</x:v>
      </x:c>
      <x:c r="G9" s="53" t="n">
        <x:f>COUNTIFS('Feature Tracker'!B6:B267,A9,'Feature Tracker'!I6:I267,"Review")</x:f>
        <x:v>0</x:v>
      </x:c>
      <x:c r="H9" s="53" t="n">
        <x:f>COUNTIFS('Feature Tracker'!B6:B267,A9,'Feature Tracker'!I6:I267,"Not started")</x:f>
        <x:v>7</x:v>
      </x:c>
    </x:row>
    <x:row r="10" ht="27" customHeight="1">
      <x:c r="A10" s="53" t="str">
        <x:v>Tenant platform</x:v>
      </x:c>
      <x:c r="B10" s="53" t="n">
        <x:f>COUNTIF('Feature Tracker'!B6:B267,A10)</x:f>
        <x:v>12</x:v>
      </x:c>
      <x:c r="C10" s="53" t="n">
        <x:f>SUMIF('Feature Tracker'!B6:B267,A10,'Feature Tracker'!J6:J267)</x:f>
        <x:v>0</x:v>
      </x:c>
      <x:c r="D10" s="54" t="n">
        <x:f>IFERROR(C10/B10,0)</x:f>
        <x:v>0</x:v>
      </x:c>
      <x:c r="E10" s="53" t="n">
        <x:f>COUNTIFS('Feature Tracker'!B6:B267,A10,'Feature Tracker'!I6:I267,"In progress")</x:f>
        <x:v>0</x:v>
      </x:c>
      <x:c r="F10" s="53" t="n">
        <x:f>COUNTIFS('Feature Tracker'!B6:B267,A10,'Feature Tracker'!I6:I267,"Blocked")</x:f>
        <x:v>0</x:v>
      </x:c>
      <x:c r="G10" s="53" t="n">
        <x:f>COUNTIFS('Feature Tracker'!B6:B267,A10,'Feature Tracker'!I6:I267,"Review")</x:f>
        <x:v>0</x:v>
      </x:c>
      <x:c r="H10" s="53" t="n">
        <x:f>COUNTIFS('Feature Tracker'!B6:B267,A10,'Feature Tracker'!I6:I267,"Not started")</x:f>
        <x:v>12</x:v>
      </x:c>
    </x:row>
    <x:row r="11" ht="27" customHeight="1">
      <x:c r="A11" s="53" t="str">
        <x:v>Data persistence</x:v>
      </x:c>
      <x:c r="B11" s="53" t="n">
        <x:f>COUNTIF('Feature Tracker'!B6:B267,A11)</x:f>
        <x:v>10</x:v>
      </x:c>
      <x:c r="C11" s="53" t="n">
        <x:f>SUMIF('Feature Tracker'!B6:B267,A11,'Feature Tracker'!J6:J267)</x:f>
        <x:v>0</x:v>
      </x:c>
      <x:c r="D11" s="54" t="n">
        <x:f>IFERROR(C11/B11,0)</x:f>
        <x:v>0</x:v>
      </x:c>
      <x:c r="E11" s="53" t="n">
        <x:f>COUNTIFS('Feature Tracker'!B6:B267,A11,'Feature Tracker'!I6:I267,"In progress")</x:f>
        <x:v>0</x:v>
      </x:c>
      <x:c r="F11" s="53" t="n">
        <x:f>COUNTIFS('Feature Tracker'!B6:B267,A11,'Feature Tracker'!I6:I267,"Blocked")</x:f>
        <x:v>0</x:v>
      </x:c>
      <x:c r="G11" s="53" t="n">
        <x:f>COUNTIFS('Feature Tracker'!B6:B267,A11,'Feature Tracker'!I6:I267,"Review")</x:f>
        <x:v>0</x:v>
      </x:c>
      <x:c r="H11" s="53" t="n">
        <x:f>COUNTIFS('Feature Tracker'!B6:B267,A11,'Feature Tracker'!I6:I267,"Not started")</x:f>
        <x:v>10</x:v>
      </x:c>
    </x:row>
    <x:row r="12" ht="27" customHeight="1">
      <x:c r="A12" s="53" t="str">
        <x:v>Event and queue backbone</x:v>
      </x:c>
      <x:c r="B12" s="53" t="n">
        <x:f>COUNTIF('Feature Tracker'!B6:B267,A12)</x:f>
        <x:v>12</x:v>
      </x:c>
      <x:c r="C12" s="53" t="n">
        <x:f>SUMIF('Feature Tracker'!B6:B267,A12,'Feature Tracker'!J6:J267)</x:f>
        <x:v>0</x:v>
      </x:c>
      <x:c r="D12" s="54" t="n">
        <x:f>IFERROR(C12/B12,0)</x:f>
        <x:v>0</x:v>
      </x:c>
      <x:c r="E12" s="53" t="n">
        <x:f>COUNTIFS('Feature Tracker'!B6:B267,A12,'Feature Tracker'!I6:I267,"In progress")</x:f>
        <x:v>0</x:v>
      </x:c>
      <x:c r="F12" s="53" t="n">
        <x:f>COUNTIFS('Feature Tracker'!B6:B267,A12,'Feature Tracker'!I6:I267,"Blocked")</x:f>
        <x:v>0</x:v>
      </x:c>
      <x:c r="G12" s="53" t="n">
        <x:f>COUNTIFS('Feature Tracker'!B6:B267,A12,'Feature Tracker'!I6:I267,"Review")</x:f>
        <x:v>0</x:v>
      </x:c>
      <x:c r="H12" s="53" t="n">
        <x:f>COUNTIFS('Feature Tracker'!B6:B267,A12,'Feature Tracker'!I6:I267,"Not started")</x:f>
        <x:v>12</x:v>
      </x:c>
    </x:row>
    <x:row r="13" ht="27" customHeight="1">
      <x:c r="A13" s="53" t="str">
        <x:v>WhatsApp and Meta onboarding</x:v>
      </x:c>
      <x:c r="B13" s="53" t="n">
        <x:f>COUNTIF('Feature Tracker'!B6:B267,A13)</x:f>
        <x:v>12</x:v>
      </x:c>
      <x:c r="C13" s="53" t="n">
        <x:f>SUMIF('Feature Tracker'!B6:B267,A13,'Feature Tracker'!J6:J267)</x:f>
        <x:v>0</x:v>
      </x:c>
      <x:c r="D13" s="54" t="n">
        <x:f>IFERROR(C13/B13,0)</x:f>
        <x:v>0</x:v>
      </x:c>
      <x:c r="E13" s="53" t="n">
        <x:f>COUNTIFS('Feature Tracker'!B6:B267,A13,'Feature Tracker'!I6:I267,"In progress")</x:f>
        <x:v>0</x:v>
      </x:c>
      <x:c r="F13" s="53" t="n">
        <x:f>COUNTIFS('Feature Tracker'!B6:B267,A13,'Feature Tracker'!I6:I267,"Blocked")</x:f>
        <x:v>0</x:v>
      </x:c>
      <x:c r="G13" s="53" t="n">
        <x:f>COUNTIFS('Feature Tracker'!B6:B267,A13,'Feature Tracker'!I6:I267,"Review")</x:f>
        <x:v>0</x:v>
      </x:c>
      <x:c r="H13" s="53" t="n">
        <x:f>COUNTIFS('Feature Tracker'!B6:B267,A13,'Feature Tracker'!I6:I267,"Not started")</x:f>
        <x:v>12</x:v>
      </x:c>
    </x:row>
    <x:row r="14" ht="27" customHeight="1">
      <x:c r="A14" s="53" t="str">
        <x:v>Instagram, Messenger and Ads</x:v>
      </x:c>
      <x:c r="B14" s="53" t="n">
        <x:f>COUNTIF('Feature Tracker'!B6:B267,A14)</x:f>
        <x:v>8</x:v>
      </x:c>
      <x:c r="C14" s="53" t="n">
        <x:f>SUMIF('Feature Tracker'!B6:B267,A14,'Feature Tracker'!J6:J267)</x:f>
        <x:v>0</x:v>
      </x:c>
      <x:c r="D14" s="54" t="n">
        <x:f>IFERROR(C14/B14,0)</x:f>
        <x:v>0</x:v>
      </x:c>
      <x:c r="E14" s="53" t="n">
        <x:f>COUNTIFS('Feature Tracker'!B6:B267,A14,'Feature Tracker'!I6:I267,"In progress")</x:f>
        <x:v>0</x:v>
      </x:c>
      <x:c r="F14" s="53" t="n">
        <x:f>COUNTIFS('Feature Tracker'!B6:B267,A14,'Feature Tracker'!I6:I267,"Blocked")</x:f>
        <x:v>0</x:v>
      </x:c>
      <x:c r="G14" s="53" t="n">
        <x:f>COUNTIFS('Feature Tracker'!B6:B267,A14,'Feature Tracker'!I6:I267,"Review")</x:f>
        <x:v>0</x:v>
      </x:c>
      <x:c r="H14" s="53" t="n">
        <x:f>COUNTIFS('Feature Tracker'!B6:B267,A14,'Feature Tracker'!I6:I267,"Not started")</x:f>
        <x:v>8</x:v>
      </x:c>
    </x:row>
    <x:row r="15" ht="27" customHeight="1">
      <x:c r="A15" s="53" t="str">
        <x:v>Telegram and channel expansion</x:v>
      </x:c>
      <x:c r="B15" s="53" t="n">
        <x:f>COUNTIF('Feature Tracker'!B6:B267,A15)</x:f>
        <x:v>8</x:v>
      </x:c>
      <x:c r="C15" s="53" t="n">
        <x:f>SUMIF('Feature Tracker'!B6:B267,A15,'Feature Tracker'!J6:J267)</x:f>
        <x:v>0</x:v>
      </x:c>
      <x:c r="D15" s="54" t="n">
        <x:f>IFERROR(C15/B15,0)</x:f>
        <x:v>0</x:v>
      </x:c>
      <x:c r="E15" s="53" t="n">
        <x:f>COUNTIFS('Feature Tracker'!B6:B267,A15,'Feature Tracker'!I6:I267,"In progress")</x:f>
        <x:v>0</x:v>
      </x:c>
      <x:c r="F15" s="53" t="n">
        <x:f>COUNTIFS('Feature Tracker'!B6:B267,A15,'Feature Tracker'!I6:I267,"Blocked")</x:f>
        <x:v>0</x:v>
      </x:c>
      <x:c r="G15" s="53" t="n">
        <x:f>COUNTIFS('Feature Tracker'!B6:B267,A15,'Feature Tracker'!I6:I267,"Review")</x:f>
        <x:v>0</x:v>
      </x:c>
      <x:c r="H15" s="53" t="n">
        <x:f>COUNTIFS('Feature Tracker'!B6:B267,A15,'Feature Tracker'!I6:I267,"Not started")</x:f>
        <x:v>8</x:v>
      </x:c>
    </x:row>
    <x:row r="16" ht="27" customHeight="1">
      <x:c r="A16" s="53" t="str">
        <x:v>Messaging and unified inbox</x:v>
      </x:c>
      <x:c r="B16" s="53" t="n">
        <x:f>COUNTIF('Feature Tracker'!B6:B267,A16)</x:f>
        <x:v>12</x:v>
      </x:c>
      <x:c r="C16" s="53" t="n">
        <x:f>SUMIF('Feature Tracker'!B6:B267,A16,'Feature Tracker'!J6:J267)</x:f>
        <x:v>0</x:v>
      </x:c>
      <x:c r="D16" s="54" t="n">
        <x:f>IFERROR(C16/B16,0)</x:f>
        <x:v>0</x:v>
      </x:c>
      <x:c r="E16" s="53" t="n">
        <x:f>COUNTIFS('Feature Tracker'!B6:B267,A16,'Feature Tracker'!I6:I267,"In progress")</x:f>
        <x:v>0</x:v>
      </x:c>
      <x:c r="F16" s="53" t="n">
        <x:f>COUNTIFS('Feature Tracker'!B6:B267,A16,'Feature Tracker'!I6:I267,"Blocked")</x:f>
        <x:v>0</x:v>
      </x:c>
      <x:c r="G16" s="53" t="n">
        <x:f>COUNTIFS('Feature Tracker'!B6:B267,A16,'Feature Tracker'!I6:I267,"Review")</x:f>
        <x:v>0</x:v>
      </x:c>
      <x:c r="H16" s="53" t="n">
        <x:f>COUNTIFS('Feature Tracker'!B6:B267,A16,'Feature Tracker'!I6:I267,"Not started")</x:f>
        <x:v>12</x:v>
      </x:c>
    </x:row>
    <x:row r="17" ht="27" customHeight="1">
      <x:c r="A17" s="53" t="str">
        <x:v>Customer webhooks</x:v>
      </x:c>
      <x:c r="B17" s="53" t="n">
        <x:f>COUNTIF('Feature Tracker'!B6:B267,A17)</x:f>
        <x:v>10</x:v>
      </x:c>
      <x:c r="C17" s="53" t="n">
        <x:f>SUMIF('Feature Tracker'!B6:B267,A17,'Feature Tracker'!J6:J267)</x:f>
        <x:v>0</x:v>
      </x:c>
      <x:c r="D17" s="54" t="n">
        <x:f>IFERROR(C17/B17,0)</x:f>
        <x:v>0</x:v>
      </x:c>
      <x:c r="E17" s="53" t="n">
        <x:f>COUNTIFS('Feature Tracker'!B6:B267,A17,'Feature Tracker'!I6:I267,"In progress")</x:f>
        <x:v>0</x:v>
      </x:c>
      <x:c r="F17" s="53" t="n">
        <x:f>COUNTIFS('Feature Tracker'!B6:B267,A17,'Feature Tracker'!I6:I267,"Blocked")</x:f>
        <x:v>0</x:v>
      </x:c>
      <x:c r="G17" s="53" t="n">
        <x:f>COUNTIFS('Feature Tracker'!B6:B267,A17,'Feature Tracker'!I6:I267,"Review")</x:f>
        <x:v>0</x:v>
      </x:c>
      <x:c r="H17" s="53" t="n">
        <x:f>COUNTIFS('Feature Tracker'!B6:B267,A17,'Feature Tracker'!I6:I267,"Not started")</x:f>
        <x:v>10</x:v>
      </x:c>
    </x:row>
    <x:row r="18" ht="27" customHeight="1">
      <x:c r="A18" s="53" t="str">
        <x:v>Customer state and consent</x:v>
      </x:c>
      <x:c r="B18" s="53" t="n">
        <x:f>COUNTIF('Feature Tracker'!B6:B267,A18)</x:f>
        <x:v>8</x:v>
      </x:c>
      <x:c r="C18" s="53" t="n">
        <x:f>SUMIF('Feature Tracker'!B6:B267,A18,'Feature Tracker'!J6:J267)</x:f>
        <x:v>0</x:v>
      </x:c>
      <x:c r="D18" s="54" t="n">
        <x:f>IFERROR(C18/B18,0)</x:f>
        <x:v>0</x:v>
      </x:c>
      <x:c r="E18" s="53" t="n">
        <x:f>COUNTIFS('Feature Tracker'!B6:B267,A18,'Feature Tracker'!I6:I267,"In progress")</x:f>
        <x:v>0</x:v>
      </x:c>
      <x:c r="F18" s="53" t="n">
        <x:f>COUNTIFS('Feature Tracker'!B6:B267,A18,'Feature Tracker'!I6:I267,"Blocked")</x:f>
        <x:v>0</x:v>
      </x:c>
      <x:c r="G18" s="53" t="n">
        <x:f>COUNTIFS('Feature Tracker'!B6:B267,A18,'Feature Tracker'!I6:I267,"Review")</x:f>
        <x:v>0</x:v>
      </x:c>
      <x:c r="H18" s="53" t="n">
        <x:f>COUNTIFS('Feature Tracker'!B6:B267,A18,'Feature Tracker'!I6:I267,"Not started")</x:f>
        <x:v>8</x:v>
      </x:c>
    </x:row>
    <x:row r="19" ht="27" customHeight="1">
      <x:c r="A19" s="53" t="str">
        <x:v>Mission and experience compiler</x:v>
      </x:c>
      <x:c r="B19" s="53" t="n">
        <x:f>COUNTIF('Feature Tracker'!B6:B267,A19)</x:f>
        <x:v>9</x:v>
      </x:c>
      <x:c r="C19" s="53" t="n">
        <x:f>SUMIF('Feature Tracker'!B6:B267,A19,'Feature Tracker'!J6:J267)</x:f>
        <x:v>0</x:v>
      </x:c>
      <x:c r="D19" s="54" t="n">
        <x:f>IFERROR(C19/B19,0)</x:f>
        <x:v>0</x:v>
      </x:c>
      <x:c r="E19" s="53" t="n">
        <x:f>COUNTIFS('Feature Tracker'!B6:B267,A19,'Feature Tracker'!I6:I267,"In progress")</x:f>
        <x:v>0</x:v>
      </x:c>
      <x:c r="F19" s="53" t="n">
        <x:f>COUNTIFS('Feature Tracker'!B6:B267,A19,'Feature Tracker'!I6:I267,"Blocked")</x:f>
        <x:v>0</x:v>
      </x:c>
      <x:c r="G19" s="53" t="n">
        <x:f>COUNTIFS('Feature Tracker'!B6:B267,A19,'Feature Tracker'!I6:I267,"Review")</x:f>
        <x:v>0</x:v>
      </x:c>
      <x:c r="H19" s="53" t="n">
        <x:f>COUNTIFS('Feature Tracker'!B6:B267,A19,'Feature Tracker'!I6:I267,"Not started")</x:f>
        <x:v>9</x:v>
      </x:c>
    </x:row>
    <x:row r="20" ht="27" customHeight="1">
      <x:c r="A20" s="53" t="str">
        <x:v>Workflow studio and runtime</x:v>
      </x:c>
      <x:c r="B20" s="53" t="n">
        <x:f>COUNTIF('Feature Tracker'!B6:B267,A20)</x:f>
        <x:v>12</x:v>
      </x:c>
      <x:c r="C20" s="53" t="n">
        <x:f>SUMIF('Feature Tracker'!B6:B267,A20,'Feature Tracker'!J6:J267)</x:f>
        <x:v>0</x:v>
      </x:c>
      <x:c r="D20" s="54" t="n">
        <x:f>IFERROR(C20/B20,0)</x:f>
        <x:v>0</x:v>
      </x:c>
      <x:c r="E20" s="53" t="n">
        <x:f>COUNTIFS('Feature Tracker'!B6:B267,A20,'Feature Tracker'!I6:I267,"In progress")</x:f>
        <x:v>0</x:v>
      </x:c>
      <x:c r="F20" s="53" t="n">
        <x:f>COUNTIFS('Feature Tracker'!B6:B267,A20,'Feature Tracker'!I6:I267,"Blocked")</x:f>
        <x:v>0</x:v>
      </x:c>
      <x:c r="G20" s="53" t="n">
        <x:f>COUNTIFS('Feature Tracker'!B6:B267,A20,'Feature Tracker'!I6:I267,"Review")</x:f>
        <x:v>0</x:v>
      </x:c>
      <x:c r="H20" s="53" t="n">
        <x:f>COUNTIFS('Feature Tracker'!B6:B267,A20,'Feature Tracker'!I6:I267,"Not started")</x:f>
        <x:v>12</x:v>
      </x:c>
    </x:row>
    <x:row r="21" ht="27" customHeight="1">
      <x:c r="A21" s="53" t="str">
        <x:v>Policy and verified actions</x:v>
      </x:c>
      <x:c r="B21" s="53" t="n">
        <x:f>COUNTIF('Feature Tracker'!B6:B267,A21)</x:f>
        <x:v>10</x:v>
      </x:c>
      <x:c r="C21" s="53" t="n">
        <x:f>SUMIF('Feature Tracker'!B6:B267,A21,'Feature Tracker'!J6:J267)</x:f>
        <x:v>0</x:v>
      </x:c>
      <x:c r="D21" s="54" t="n">
        <x:f>IFERROR(C21/B21,0)</x:f>
        <x:v>0</x:v>
      </x:c>
      <x:c r="E21" s="53" t="n">
        <x:f>COUNTIFS('Feature Tracker'!B6:B267,A21,'Feature Tracker'!I6:I267,"In progress")</x:f>
        <x:v>0</x:v>
      </x:c>
      <x:c r="F21" s="53" t="n">
        <x:f>COUNTIFS('Feature Tracker'!B6:B267,A21,'Feature Tracker'!I6:I267,"Blocked")</x:f>
        <x:v>0</x:v>
      </x:c>
      <x:c r="G21" s="53" t="n">
        <x:f>COUNTIFS('Feature Tracker'!B6:B267,A21,'Feature Tracker'!I6:I267,"Review")</x:f>
        <x:v>0</x:v>
      </x:c>
      <x:c r="H21" s="53" t="n">
        <x:f>COUNTIFS('Feature Tracker'!B6:B267,A21,'Feature Tracker'!I6:I267,"Not started")</x:f>
        <x:v>10</x:v>
      </x:c>
    </x:row>
    <x:row r="22" ht="27" customHeight="1">
      <x:c r="A22" s="53" t="str">
        <x:v>Journey twin and controlled change</x:v>
      </x:c>
      <x:c r="B22" s="53" t="n">
        <x:f>COUNTIF('Feature Tracker'!B6:B267,A22)</x:f>
        <x:v>8</x:v>
      </x:c>
      <x:c r="C22" s="53" t="n">
        <x:f>SUMIF('Feature Tracker'!B6:B267,A22,'Feature Tracker'!J6:J267)</x:f>
        <x:v>0</x:v>
      </x:c>
      <x:c r="D22" s="54" t="n">
        <x:f>IFERROR(C22/B22,0)</x:f>
        <x:v>0</x:v>
      </x:c>
      <x:c r="E22" s="53" t="n">
        <x:f>COUNTIFS('Feature Tracker'!B6:B267,A22,'Feature Tracker'!I6:I267,"In progress")</x:f>
        <x:v>0</x:v>
      </x:c>
      <x:c r="F22" s="53" t="n">
        <x:f>COUNTIFS('Feature Tracker'!B6:B267,A22,'Feature Tracker'!I6:I267,"Blocked")</x:f>
        <x:v>0</x:v>
      </x:c>
      <x:c r="G22" s="53" t="n">
        <x:f>COUNTIFS('Feature Tracker'!B6:B267,A22,'Feature Tracker'!I6:I267,"Review")</x:f>
        <x:v>0</x:v>
      </x:c>
      <x:c r="H22" s="53" t="n">
        <x:f>COUNTIFS('Feature Tracker'!B6:B267,A22,'Feature Tracker'!I6:I267,"Not started")</x:f>
        <x:v>8</x:v>
      </x:c>
    </x:row>
    <x:row r="23" ht="27" customHeight="1">
      <x:c r="A23" s="53" t="str">
        <x:v>AI agents and knowledge</x:v>
      </x:c>
      <x:c r="B23" s="53" t="n">
        <x:f>COUNTIF('Feature Tracker'!B6:B267,A23)</x:f>
        <x:v>12</x:v>
      </x:c>
      <x:c r="C23" s="53" t="n">
        <x:f>SUMIF('Feature Tracker'!B6:B267,A23,'Feature Tracker'!J6:J267)</x:f>
        <x:v>0</x:v>
      </x:c>
      <x:c r="D23" s="54" t="n">
        <x:f>IFERROR(C23/B23,0)</x:f>
        <x:v>0</x:v>
      </x:c>
      <x:c r="E23" s="53" t="n">
        <x:f>COUNTIFS('Feature Tracker'!B6:B267,A23,'Feature Tracker'!I6:I267,"In progress")</x:f>
        <x:v>0</x:v>
      </x:c>
      <x:c r="F23" s="53" t="n">
        <x:f>COUNTIFS('Feature Tracker'!B6:B267,A23,'Feature Tracker'!I6:I267,"Blocked")</x:f>
        <x:v>0</x:v>
      </x:c>
      <x:c r="G23" s="53" t="n">
        <x:f>COUNTIFS('Feature Tracker'!B6:B267,A23,'Feature Tracker'!I6:I267,"Review")</x:f>
        <x:v>0</x:v>
      </x:c>
      <x:c r="H23" s="53" t="n">
        <x:f>COUNTIFS('Feature Tracker'!B6:B267,A23,'Feature Tracker'!I6:I267,"Not started")</x:f>
        <x:v>12</x:v>
      </x:c>
    </x:row>
    <x:row r="24" ht="27" customHeight="1">
      <x:c r="A24" s="53" t="str">
        <x:v>Integration platform</x:v>
      </x:c>
      <x:c r="B24" s="53" t="n">
        <x:f>COUNTIF('Feature Tracker'!B6:B267,A24)</x:f>
        <x:v>12</x:v>
      </x:c>
      <x:c r="C24" s="53" t="n">
        <x:f>SUMIF('Feature Tracker'!B6:B267,A24,'Feature Tracker'!J6:J267)</x:f>
        <x:v>0</x:v>
      </x:c>
      <x:c r="D24" s="54" t="n">
        <x:f>IFERROR(C24/B24,0)</x:f>
        <x:v>0</x:v>
      </x:c>
      <x:c r="E24" s="53" t="n">
        <x:f>COUNTIFS('Feature Tracker'!B6:B267,A24,'Feature Tracker'!I6:I267,"In progress")</x:f>
        <x:v>0</x:v>
      </x:c>
      <x:c r="F24" s="53" t="n">
        <x:f>COUNTIFS('Feature Tracker'!B6:B267,A24,'Feature Tracker'!I6:I267,"Blocked")</x:f>
        <x:v>0</x:v>
      </x:c>
      <x:c r="G24" s="53" t="n">
        <x:f>COUNTIFS('Feature Tracker'!B6:B267,A24,'Feature Tracker'!I6:I267,"Review")</x:f>
        <x:v>0</x:v>
      </x:c>
      <x:c r="H24" s="53" t="n">
        <x:f>COUNTIFS('Feature Tracker'!B6:B267,A24,'Feature Tracker'!I6:I267,"Not started")</x:f>
        <x:v>12</x:v>
      </x:c>
    </x:row>
    <x:row r="25" ht="27" customHeight="1">
      <x:c r="A25" s="53" t="str">
        <x:v>Public developer platform</x:v>
      </x:c>
      <x:c r="B25" s="53" t="n">
        <x:f>COUNTIF('Feature Tracker'!B6:B267,A25)</x:f>
        <x:v>8</x:v>
      </x:c>
      <x:c r="C25" s="53" t="n">
        <x:f>SUMIF('Feature Tracker'!B6:B267,A25,'Feature Tracker'!J6:J267)</x:f>
        <x:v>0</x:v>
      </x:c>
      <x:c r="D25" s="54" t="n">
        <x:f>IFERROR(C25/B25,0)</x:f>
        <x:v>0</x:v>
      </x:c>
      <x:c r="E25" s="53" t="n">
        <x:f>COUNTIFS('Feature Tracker'!B6:B267,A25,'Feature Tracker'!I6:I267,"In progress")</x:f>
        <x:v>0</x:v>
      </x:c>
      <x:c r="F25" s="53" t="n">
        <x:f>COUNTIFS('Feature Tracker'!B6:B267,A25,'Feature Tracker'!I6:I267,"Blocked")</x:f>
        <x:v>0</x:v>
      </x:c>
      <x:c r="G25" s="53" t="n">
        <x:f>COUNTIFS('Feature Tracker'!B6:B267,A25,'Feature Tracker'!I6:I267,"Review")</x:f>
        <x:v>0</x:v>
      </x:c>
      <x:c r="H25" s="53" t="n">
        <x:f>COUNTIFS('Feature Tracker'!B6:B267,A25,'Feature Tracker'!I6:I267,"Not started")</x:f>
        <x:v>8</x:v>
      </x:c>
    </x:row>
    <x:row r="26" ht="27" customHeight="1">
      <x:c r="A26" s="53" t="str">
        <x:v>Web, mobile and accessibility</x:v>
      </x:c>
      <x:c r="B26" s="53" t="n">
        <x:f>COUNTIF('Feature Tracker'!B6:B267,A26)</x:f>
        <x:v>10</x:v>
      </x:c>
      <x:c r="C26" s="53" t="n">
        <x:f>SUMIF('Feature Tracker'!B6:B267,A26,'Feature Tracker'!J6:J267)</x:f>
        <x:v>0</x:v>
      </x:c>
      <x:c r="D26" s="54" t="n">
        <x:f>IFERROR(C26/B26,0)</x:f>
        <x:v>0</x:v>
      </x:c>
      <x:c r="E26" s="53" t="n">
        <x:f>COUNTIFS('Feature Tracker'!B6:B267,A26,'Feature Tracker'!I6:I267,"In progress")</x:f>
        <x:v>0</x:v>
      </x:c>
      <x:c r="F26" s="53" t="n">
        <x:f>COUNTIFS('Feature Tracker'!B6:B267,A26,'Feature Tracker'!I6:I267,"Blocked")</x:f>
        <x:v>0</x:v>
      </x:c>
      <x:c r="G26" s="53" t="n">
        <x:f>COUNTIFS('Feature Tracker'!B6:B267,A26,'Feature Tracker'!I6:I267,"Review")</x:f>
        <x:v>0</x:v>
      </x:c>
      <x:c r="H26" s="53" t="n">
        <x:f>COUNTIFS('Feature Tracker'!B6:B267,A26,'Feature Tracker'!I6:I267,"Not started")</x:f>
        <x:v>10</x:v>
      </x:c>
    </x:row>
    <x:row r="27" ht="27" customHeight="1">
      <x:c r="A27" s="53" t="str">
        <x:v>Campaigns and marketing</x:v>
      </x:c>
      <x:c r="B27" s="53" t="n">
        <x:f>COUNTIF('Feature Tracker'!B6:B267,A27)</x:f>
        <x:v>8</x:v>
      </x:c>
      <x:c r="C27" s="53" t="n">
        <x:f>SUMIF('Feature Tracker'!B6:B267,A27,'Feature Tracker'!J6:J267)</x:f>
        <x:v>0</x:v>
      </x:c>
      <x:c r="D27" s="54" t="n">
        <x:f>IFERROR(C27/B27,0)</x:f>
        <x:v>0</x:v>
      </x:c>
      <x:c r="E27" s="53" t="n">
        <x:f>COUNTIFS('Feature Tracker'!B6:B267,A27,'Feature Tracker'!I6:I267,"In progress")</x:f>
        <x:v>0</x:v>
      </x:c>
      <x:c r="F27" s="53" t="n">
        <x:f>COUNTIFS('Feature Tracker'!B6:B267,A27,'Feature Tracker'!I6:I267,"Blocked")</x:f>
        <x:v>0</x:v>
      </x:c>
      <x:c r="G27" s="53" t="n">
        <x:f>COUNTIFS('Feature Tracker'!B6:B267,A27,'Feature Tracker'!I6:I267,"Review")</x:f>
        <x:v>0</x:v>
      </x:c>
      <x:c r="H27" s="53" t="n">
        <x:f>COUNTIFS('Feature Tracker'!B6:B267,A27,'Feature Tracker'!I6:I267,"Not started")</x:f>
        <x:v>8</x:v>
      </x:c>
    </x:row>
    <x:row r="28" ht="27" customHeight="1">
      <x:c r="A28" s="53" t="str">
        <x:v>CRM, commerce and appointments</x:v>
      </x:c>
      <x:c r="B28" s="53" t="n">
        <x:f>COUNTIF('Feature Tracker'!B6:B267,A28)</x:f>
        <x:v>8</x:v>
      </x:c>
      <x:c r="C28" s="53" t="n">
        <x:f>SUMIF('Feature Tracker'!B6:B267,A28,'Feature Tracker'!J6:J267)</x:f>
        <x:v>0</x:v>
      </x:c>
      <x:c r="D28" s="54" t="n">
        <x:f>IFERROR(C28/B28,0)</x:f>
        <x:v>0</x:v>
      </x:c>
      <x:c r="E28" s="53" t="n">
        <x:f>COUNTIFS('Feature Tracker'!B6:B267,A28,'Feature Tracker'!I6:I267,"In progress")</x:f>
        <x:v>0</x:v>
      </x:c>
      <x:c r="F28" s="53" t="n">
        <x:f>COUNTIFS('Feature Tracker'!B6:B267,A28,'Feature Tracker'!I6:I267,"Blocked")</x:f>
        <x:v>0</x:v>
      </x:c>
      <x:c r="G28" s="53" t="n">
        <x:f>COUNTIFS('Feature Tracker'!B6:B267,A28,'Feature Tracker'!I6:I267,"Review")</x:f>
        <x:v>0</x:v>
      </x:c>
      <x:c r="H28" s="53" t="n">
        <x:f>COUNTIFS('Feature Tracker'!B6:B267,A28,'Feature Tracker'!I6:I267,"Not started")</x:f>
        <x:v>8</x:v>
      </x:c>
    </x:row>
    <x:row r="29" ht="27" customHeight="1">
      <x:c r="A29" s="53" t="str">
        <x:v>Voice and calling</x:v>
      </x:c>
      <x:c r="B29" s="53" t="n">
        <x:f>COUNTIF('Feature Tracker'!B6:B267,A29)</x:f>
        <x:v>6</x:v>
      </x:c>
      <x:c r="C29" s="53" t="n">
        <x:f>SUMIF('Feature Tracker'!B6:B267,A29,'Feature Tracker'!J6:J267)</x:f>
        <x:v>0</x:v>
      </x:c>
      <x:c r="D29" s="54" t="n">
        <x:f>IFERROR(C29/B29,0)</x:f>
        <x:v>0</x:v>
      </x:c>
      <x:c r="E29" s="53" t="n">
        <x:f>COUNTIFS('Feature Tracker'!B6:B267,A29,'Feature Tracker'!I6:I267,"In progress")</x:f>
        <x:v>0</x:v>
      </x:c>
      <x:c r="F29" s="53" t="n">
        <x:f>COUNTIFS('Feature Tracker'!B6:B267,A29,'Feature Tracker'!I6:I267,"Blocked")</x:f>
        <x:v>0</x:v>
      </x:c>
      <x:c r="G29" s="53" t="n">
        <x:f>COUNTIFS('Feature Tracker'!B6:B267,A29,'Feature Tracker'!I6:I267,"Review")</x:f>
        <x:v>0</x:v>
      </x:c>
      <x:c r="H29" s="53" t="n">
        <x:f>COUNTIFS('Feature Tracker'!B6:B267,A29,'Feature Tracker'!I6:I267,"Not started")</x:f>
        <x:v>6</x:v>
      </x:c>
    </x:row>
    <x:row r="30" ht="27" customHeight="1">
      <x:c r="A30" s="53" t="str">
        <x:v>Support and diagnostics</x:v>
      </x:c>
      <x:c r="B30" s="53" t="n">
        <x:f>COUNTIF('Feature Tracker'!B6:B267,A30)</x:f>
        <x:v>8</x:v>
      </x:c>
      <x:c r="C30" s="53" t="n">
        <x:f>SUMIF('Feature Tracker'!B6:B267,A30,'Feature Tracker'!J6:J267)</x:f>
        <x:v>0</x:v>
      </x:c>
      <x:c r="D30" s="54" t="n">
        <x:f>IFERROR(C30/B30,0)</x:f>
        <x:v>0</x:v>
      </x:c>
      <x:c r="E30" s="53" t="n">
        <x:f>COUNTIFS('Feature Tracker'!B6:B267,A30,'Feature Tracker'!I6:I267,"In progress")</x:f>
        <x:v>0</x:v>
      </x:c>
      <x:c r="F30" s="53" t="n">
        <x:f>COUNTIFS('Feature Tracker'!B6:B267,A30,'Feature Tracker'!I6:I267,"Blocked")</x:f>
        <x:v>0</x:v>
      </x:c>
      <x:c r="G30" s="53" t="n">
        <x:f>COUNTIFS('Feature Tracker'!B6:B267,A30,'Feature Tracker'!I6:I267,"Review")</x:f>
        <x:v>0</x:v>
      </x:c>
      <x:c r="H30" s="53" t="n">
        <x:f>COUNTIFS('Feature Tracker'!B6:B267,A30,'Feature Tracker'!I6:I267,"Not started")</x:f>
        <x:v>8</x:v>
      </x:c>
    </x:row>
    <x:row r="31" ht="27" customHeight="1">
      <x:c r="A31" s="53" t="str">
        <x:v>Billing and outcome analytics</x:v>
      </x:c>
      <x:c r="B31" s="53" t="n">
        <x:f>COUNTIF('Feature Tracker'!B6:B267,A31)</x:f>
        <x:v>8</x:v>
      </x:c>
      <x:c r="C31" s="53" t="n">
        <x:f>SUMIF('Feature Tracker'!B6:B267,A31,'Feature Tracker'!J6:J267)</x:f>
        <x:v>0</x:v>
      </x:c>
      <x:c r="D31" s="54" t="n">
        <x:f>IFERROR(C31/B31,0)</x:f>
        <x:v>0</x:v>
      </x:c>
      <x:c r="E31" s="53" t="n">
        <x:f>COUNTIFS('Feature Tracker'!B6:B267,A31,'Feature Tracker'!I6:I267,"In progress")</x:f>
        <x:v>0</x:v>
      </x:c>
      <x:c r="F31" s="53" t="n">
        <x:f>COUNTIFS('Feature Tracker'!B6:B267,A31,'Feature Tracker'!I6:I267,"Blocked")</x:f>
        <x:v>0</x:v>
      </x:c>
      <x:c r="G31" s="53" t="n">
        <x:f>COUNTIFS('Feature Tracker'!B6:B267,A31,'Feature Tracker'!I6:I267,"Review")</x:f>
        <x:v>0</x:v>
      </x:c>
      <x:c r="H31" s="53" t="n">
        <x:f>COUNTIFS('Feature Tracker'!B6:B267,A31,'Feature Tracker'!I6:I267,"Not started")</x:f>
        <x:v>8</x:v>
      </x:c>
    </x:row>
    <x:row r="32" ht="27" customHeight="1">
      <x:c r="A32" s="53" t="str">
        <x:v>Security and privacy</x:v>
      </x:c>
      <x:c r="B32" s="53" t="n">
        <x:f>COUNTIF('Feature Tracker'!B6:B267,A32)</x:f>
        <x:v>12</x:v>
      </x:c>
      <x:c r="C32" s="53" t="n">
        <x:f>SUMIF('Feature Tracker'!B6:B267,A32,'Feature Tracker'!J6:J267)</x:f>
        <x:v>0</x:v>
      </x:c>
      <x:c r="D32" s="54" t="n">
        <x:f>IFERROR(C32/B32,0)</x:f>
        <x:v>0</x:v>
      </x:c>
      <x:c r="E32" s="53" t="n">
        <x:f>COUNTIFS('Feature Tracker'!B6:B267,A32,'Feature Tracker'!I6:I267,"In progress")</x:f>
        <x:v>0</x:v>
      </x:c>
      <x:c r="F32" s="53" t="n">
        <x:f>COUNTIFS('Feature Tracker'!B6:B267,A32,'Feature Tracker'!I6:I267,"Blocked")</x:f>
        <x:v>0</x:v>
      </x:c>
      <x:c r="G32" s="53" t="n">
        <x:f>COUNTIFS('Feature Tracker'!B6:B267,A32,'Feature Tracker'!I6:I267,"Review")</x:f>
        <x:v>0</x:v>
      </x:c>
      <x:c r="H32" s="53" t="n">
        <x:f>COUNTIFS('Feature Tracker'!B6:B267,A32,'Feature Tracker'!I6:I267,"Not started")</x:f>
        <x:v>12</x:v>
      </x:c>
    </x:row>
    <x:row r="33" ht="27" customHeight="1">
      <x:c r="A33" s="53" t="str">
        <x:v>Platform operations and scale</x:v>
      </x:c>
      <x:c r="B33" s="53" t="n">
        <x:f>COUNTIF('Feature Tracker'!B6:B267,A33)</x:f>
        <x:v>12</x:v>
      </x:c>
      <x:c r="C33" s="53" t="n">
        <x:f>SUMIF('Feature Tracker'!B6:B267,A33,'Feature Tracker'!J6:J267)</x:f>
        <x:v>0</x:v>
      </x:c>
      <x:c r="D33" s="54" t="n">
        <x:f>IFERROR(C33/B33,0)</x:f>
        <x:v>0</x:v>
      </x:c>
      <x:c r="E33" s="53" t="n">
        <x:f>COUNTIFS('Feature Tracker'!B6:B267,A33,'Feature Tracker'!I6:I267,"In progress")</x:f>
        <x:v>0</x:v>
      </x:c>
      <x:c r="F33" s="53" t="n">
        <x:f>COUNTIFS('Feature Tracker'!B6:B267,A33,'Feature Tracker'!I6:I267,"Blocked")</x:f>
        <x:v>0</x:v>
      </x:c>
      <x:c r="G33" s="53" t="n">
        <x:f>COUNTIFS('Feature Tracker'!B6:B267,A33,'Feature Tracker'!I6:I267,"Review")</x:f>
        <x:v>0</x:v>
      </x:c>
      <x:c r="H33" s="53" t="n">
        <x:f>COUNTIFS('Feature Tracker'!B6:B267,A33,'Feature Tracker'!I6:I267,"Not started")</x:f>
        <x:v>12</x:v>
      </x:c>
    </x:row>
    <x:row r="34" ht="27" customHeight="1">
      <x:c r="A34" s="53" t="str">
        <x:v>Verification and external approvals</x:v>
      </x:c>
      <x:c r="B34" s="53" t="n">
        <x:f>COUNTIF('Feature Tracker'!B6:B267,A34)</x:f>
        <x:v>12</x:v>
      </x:c>
      <x:c r="C34" s="53" t="n">
        <x:f>SUMIF('Feature Tracker'!B6:B267,A34,'Feature Tracker'!J6:J267)</x:f>
        <x:v>0</x:v>
      </x:c>
      <x:c r="D34" s="54" t="n">
        <x:f>IFERROR(C34/B34,0)</x:f>
        <x:v>0</x:v>
      </x:c>
      <x:c r="E34" s="53" t="n">
        <x:f>COUNTIFS('Feature Tracker'!B6:B267,A34,'Feature Tracker'!I6:I267,"In progress")</x:f>
        <x:v>0</x:v>
      </x:c>
      <x:c r="F34" s="53" t="n">
        <x:f>COUNTIFS('Feature Tracker'!B6:B267,A34,'Feature Tracker'!I6:I267,"Blocked")</x:f>
        <x:v>0</x:v>
      </x:c>
      <x:c r="G34" s="53" t="n">
        <x:f>COUNTIFS('Feature Tracker'!B6:B267,A34,'Feature Tracker'!I6:I267,"Review")</x:f>
        <x:v>0</x:v>
      </x:c>
      <x:c r="H34" s="53" t="n">
        <x:f>COUNTIFS('Feature Tracker'!B6:B267,A34,'Feature Tracker'!I6:I267,"Not started")</x:f>
        <x:v>12</x:v>
      </x:c>
    </x:row>
    <x:row r="35" ht="27" customHeight="1">
      <x:c r="A35" s="53" t="str">
        <x:v>Agency and marketplace</x:v>
      </x:c>
      <x:c r="B35" s="53" t="n">
        <x:f>COUNTIF('Feature Tracker'!B6:B267,A35)</x:f>
        <x:v>8</x:v>
      </x:c>
      <x:c r="C35" s="53" t="n">
        <x:f>SUMIF('Feature Tracker'!B6:B267,A35,'Feature Tracker'!J6:J267)</x:f>
        <x:v>0</x:v>
      </x:c>
      <x:c r="D35" s="54" t="n">
        <x:f>IFERROR(C35/B35,0)</x:f>
        <x:v>0</x:v>
      </x:c>
      <x:c r="E35" s="53" t="n">
        <x:f>COUNTIFS('Feature Tracker'!B6:B267,A35,'Feature Tracker'!I6:I267,"In progress")</x:f>
        <x:v>0</x:v>
      </x:c>
      <x:c r="F35" s="53" t="n">
        <x:f>COUNTIFS('Feature Tracker'!B6:B267,A35,'Feature Tracker'!I6:I267,"Blocked")</x:f>
        <x:v>0</x:v>
      </x:c>
      <x:c r="G35" s="53" t="n">
        <x:f>COUNTIFS('Feature Tracker'!B6:B267,A35,'Feature Tracker'!I6:I267,"Review")</x:f>
        <x:v>0</x:v>
      </x:c>
      <x:c r="H35" s="53" t="n">
        <x:f>COUNTIFS('Feature Tracker'!B6:B267,A35,'Feature Tracker'!I6:I267,"Not started")</x:f>
        <x:v>8</x:v>
      </x:c>
    </x:row>
    <x:row r="38" ht="30" customHeight="1">
      <x:c r="A38" s="19" t="str">
        <x:v>Implementation gate</x:v>
      </x:c>
      <x:c r="B38" s="19" t="str">
        <x:v>Tasks</x:v>
      </x:c>
      <x:c r="C38" s="19" t="str">
        <x:v>Verified done</x:v>
      </x:c>
      <x:c r="D38" s="19" t="str">
        <x:v>Verified %</x:v>
      </x:c>
    </x:row>
    <x:row r="39">
      <x:c r="A39" t="str">
        <x:v>G0</x:v>
      </x:c>
      <x:c r="B39" t="n">
        <x:f>COUNTIF('Feature Tracker'!D6:D267,A39)</x:f>
        <x:v>60</x:v>
      </x:c>
      <x:c r="C39" t="n">
        <x:f>SUMIF('Feature Tracker'!D6:D267,A39,'Feature Tracker'!J6:J267)</x:f>
        <x:v>0</x:v>
      </x:c>
      <x:c r="D39" s="49" t="n">
        <x:f>IFERROR(C39/B39,0)</x:f>
        <x:v>0</x:v>
      </x:c>
    </x:row>
    <x:row r="40">
      <x:c r="A40" t="str">
        <x:v>G1</x:v>
      </x:c>
      <x:c r="B40" t="n">
        <x:f>COUNTIF('Feature Tracker'!D6:D267,A40)</x:f>
        <x:v>126</x:v>
      </x:c>
      <x:c r="C40" t="n">
        <x:f>SUMIF('Feature Tracker'!D6:D267,A40,'Feature Tracker'!J6:J267)</x:f>
        <x:v>0</x:v>
      </x:c>
      <x:c r="D40" s="49" t="n">
        <x:f>IFERROR(C40/B40,0)</x:f>
        <x:v>0</x:v>
      </x:c>
    </x:row>
    <x:row r="41">
      <x:c r="A41" t="str">
        <x:v>G2</x:v>
      </x:c>
      <x:c r="B41" t="n">
        <x:f>COUNTIF('Feature Tracker'!D6:D267,A41)</x:f>
        <x:v>59</x:v>
      </x:c>
      <x:c r="C41" t="n">
        <x:f>SUMIF('Feature Tracker'!D6:D267,A41,'Feature Tracker'!J6:J267)</x:f>
        <x:v>0</x:v>
      </x:c>
      <x:c r="D41" s="49" t="n">
        <x:f>IFERROR(C41/B41,0)</x:f>
        <x:v>0</x:v>
      </x:c>
    </x:row>
    <x:row r="42">
      <x:c r="A42" t="str">
        <x:v>G3</x:v>
      </x:c>
      <x:c r="B42" t="n">
        <x:f>COUNTIF('Feature Tracker'!D6:D267,A42)</x:f>
        <x:v>17</x:v>
      </x:c>
      <x:c r="C42" t="n">
        <x:f>SUMIF('Feature Tracker'!D6:D267,A42,'Feature Tracker'!J6:J267)</x:f>
        <x:v>0</x:v>
      </x:c>
      <x:c r="D42" s="49" t="n">
        <x:f>IFERROR(C42/B42,0)</x:f>
        <x:v>0</x:v>
      </x:c>
    </x:row>
    <x:row r="44">
      <x:c r="A44" s="60" t="str">
        <x:v>G4 is separate fleet-scale qualification: feature completion does not certify 10 billion messages/day or grant provider approval.</x:v>
      </x:c>
      <x:c r="B44" s="60"/>
      <x:c r="C44" s="60"/>
      <x:c r="D44" s="60"/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</x:sheetData>
  <x:mergeCells>
    <x:mergeCell ref="A1:H1"/>
    <x:mergeCell ref="A2:H2"/>
    <x:mergeCell ref="A44:H4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38" hidden="0" customWidth="1"/>
    <x:col min="4" max="4" width="9" hidden="0" customWidth="1"/>
    <x:col min="5" max="5" width="10" hidden="0" customWidth="1"/>
    <x:col min="6" max="6" width="22" hidden="0" customWidth="1"/>
    <x:col min="7" max="7" width="21" hidden="0" customWidth="1"/>
    <x:col min="8" max="8" width="25" hidden="0" customWidth="1"/>
    <x:col min="9" max="9" width="17" hidden="0" customWidth="1"/>
    <x:col min="10" max="10" width="15" hidden="0" customWidth="1"/>
    <x:col min="11" max="11" width="60" hidden="0" customWidth="1"/>
    <x:col min="12" max="12" width="49" hidden="0" customWidth="1"/>
    <x:col min="13" max="13" width="17" hidden="0" customWidth="1"/>
    <x:col min="14" max="14" width="37" hidden="0" customWidth="1"/>
    <x:col min="15" max="15" width="14" hidden="0" customWidth="1"/>
    <x:col min="16" max="16" width="15" hidden="0" customWidth="1"/>
    <x:col min="17" max="17" width="15" hidden="0" customWidth="1"/>
    <x:col min="18" max="18" width="14" hidden="0" customWidth="1"/>
    <x:col min="19" max="19" width="47" hidden="0" customWidth="1"/>
    <x:col min="20" max="20" width="23" hidden="0" customWidth="1"/>
    <x:col min="21" max="21" width="17" hidden="0" customWidth="1"/>
  </x:cols>
  <x:sheetData>
    <x:row r="1" ht="34" customHeight="1">
      <x:c r="A1" s="4" t="str">
        <x:v>FEATURE DELIVERY &amp; ASSIGNMENT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6" customHeight="1">
      <x:c r="A2" s="11" t="str">
        <x:v>Editable: Assignee, Status, Evidence, Estimate, Start, Due and Notes. Provider approval requires its own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</x:row>
    <x:row r="5" ht="30" customHeight="1">
      <x:c r="A5" s="19" t="str">
        <x:v>Task ID</x:v>
      </x:c>
      <x:c r="B5" s="19" t="str">
        <x:v>Domain</x:v>
      </x:c>
      <x:c r="C5" s="19" t="str">
        <x:v>Feature / work package</x:v>
      </x:c>
      <x:c r="D5" s="19" t="str">
        <x:v>Gate</x:v>
      </x:c>
      <x:c r="E5" s="19" t="str">
        <x:v>Priority</x:v>
      </x:c>
      <x:c r="F5" s="19" t="str">
        <x:v>Squad</x:v>
      </x:c>
      <x:c r="G5" s="19" t="str">
        <x:v>Assignee</x:v>
      </x:c>
      <x:c r="H5" s="19" t="str">
        <x:v>Predecessor IDs</x:v>
      </x:c>
      <x:c r="I5" s="19" t="str">
        <x:v>Status</x:v>
      </x:c>
      <x:c r="J5" s="19" t="str">
        <x:v>Verified completion</x:v>
      </x:c>
      <x:c r="K5" s="19" t="str">
        <x:v>Acceptance criteria</x:v>
      </x:c>
      <x:c r="L5" s="19" t="str">
        <x:v>Proposed code ownership</x:v>
      </x:c>
      <x:c r="M5" s="19" t="str">
        <x:v>Acceptance test ID</x:v>
      </x:c>
      <x:c r="N5" s="19" t="str">
        <x:v>Evidence link</x:v>
      </x:c>
      <x:c r="O5" s="19" t="str">
        <x:v>Estimate days</x:v>
      </x:c>
      <x:c r="P5" s="19" t="str">
        <x:v>Start date</x:v>
      </x:c>
      <x:c r="Q5" s="19" t="str">
        <x:v>Due date</x:v>
      </x:c>
      <x:c r="R5" s="19" t="str">
        <x:v>Sources</x:v>
      </x:c>
      <x:c r="S5" s="19" t="str">
        <x:v>Notes</x:v>
      </x:c>
      <x:c r="T5" s="19" t="str">
        <x:v>Evidence gate</x:v>
      </x:c>
      <x:c r="U5" s="19" t="str">
        <x:v>Overdue flag</x:v>
      </x:c>
    </x:row>
    <x:row r="6" ht="74" customHeight="1">
      <x:c r="A6" s="29" t="str">
        <x:v>GOV-001</x:v>
      </x:c>
      <x:c r="B6" s="29" t="str">
        <x:v>Architecture and governance</x:v>
      </x:c>
      <x:c r="C6" s="29" t="str">
        <x:v>Baseline, ADRs and change control</x:v>
      </x:c>
      <x:c r="D6" s="29" t="str">
        <x:v>G0</x:v>
      </x:c>
      <x:c r="E6" s="29" t="str">
        <x:v>P0</x:v>
      </x:c>
      <x:c r="F6" s="29" t="str">
        <x:v>Architecture</x:v>
      </x:c>
      <x:c r="G6" s="39"/>
      <x:c r="H6" s="29" t="str"/>
      <x:c r="I6" s="39" t="str">
        <x:v>Not started</x:v>
      </x:c>
      <x:c r="J6" s="33" t="n">
        <x:f>IF(AND(I6="Done",N6&lt;&gt;""),1,0)</x:f>
        <x:v>0</x:v>
      </x:c>
      <x:c r="K6" s="29" t="str">
        <x:v>Scope IDs, ADR ownership and compatibility rules are approved; no silent requirement deletion.</x:v>
      </x:c>
      <x:c r="L6" s="29" t="str">
        <x:v>docs/architecture/; docs/decisions/ (proposed)</x:v>
      </x:c>
      <x:c r="M6" s="29" t="str">
        <x:v>AT-GOV-001</x:v>
      </x:c>
      <x:c r="N6" s="39" t="str"/>
      <x:c r="O6" s="41"/>
      <x:c r="P6" s="43"/>
      <x:c r="Q6" s="43"/>
      <x:c r="R6" s="29" t="str">
        <x:v>S01</x:v>
      </x:c>
      <x:c r="S6" s="39" t="str">
        <x:v>Proposed target paths; no repository implementation inspected. Completion requires linked evidence.</x:v>
      </x:c>
      <x:c r="T6" s="29" t="str">
        <x:f>IF(I6="Done",IF(N6="","MISSING EVIDENCE","Review evidence"),"Pending")</x:f>
        <x:v>Pending</x:v>
      </x:c>
      <x:c r="U6" s="29" t="str">
        <x:f>IF(AND(Q6&lt;&gt;"",Q6&lt;TODAY(),I6&lt;&gt;"Done"),"OVERDUE","")</x:f>
      </x:c>
    </x:row>
    <x:row r="7" ht="74" customHeight="1">
      <x:c r="A7" s="29" t="str">
        <x:v>GOV-002</x:v>
      </x:c>
      <x:c r="B7" s="29" t="str">
        <x:v>Architecture and governance</x:v>
      </x:c>
      <x:c r="C7" s="29" t="str">
        <x:v>Version and dependency bill of materials</x:v>
      </x:c>
      <x:c r="D7" s="29" t="str">
        <x:v>G0</x:v>
      </x:c>
      <x:c r="E7" s="29" t="str">
        <x:v>P0</x:v>
      </x:c>
      <x:c r="F7" s="29" t="str">
        <x:v>Architecture</x:v>
      </x:c>
      <x:c r="G7" s="39"/>
      <x:c r="H7" s="29" t="str"/>
      <x:c r="I7" s="39" t="str">
        <x:v>Not started</x:v>
      </x:c>
      <x:c r="J7" s="33" t="n">
        <x:f>IF(AND(I7="Done",N7&lt;&gt;""),1,0)</x:f>
        <x:v>0</x:v>
      </x:c>
      <x:c r="K7" s="29" t="str">
        <x:v>All production dependencies and images are pinned with SBOM, licenses, support dates and reproducible build evidence.</x:v>
      </x:c>
      <x:c r="L7" s="29" t="str">
        <x:v>docs/architecture/; docs/decisions/ (proposed)</x:v>
      </x:c>
      <x:c r="M7" s="29" t="str">
        <x:v>AT-GOV-002</x:v>
      </x:c>
      <x:c r="N7" s="39"/>
      <x:c r="O7" s="41"/>
      <x:c r="P7" s="43"/>
      <x:c r="Q7" s="43"/>
      <x:c r="R7" s="29" t="str">
        <x:v>S01</x:v>
      </x:c>
      <x:c r="S7" s="39" t="str">
        <x:v>Proposed target paths; no repository implementation inspected. Completion requires linked evidence.</x:v>
      </x:c>
      <x:c r="T7" s="29" t="str">
        <x:f>IF(I7="Done",IF(N7="","MISSING EVIDENCE","Review evidence"),"Pending")</x:f>
        <x:v>Pending</x:v>
      </x:c>
      <x:c r="U7" s="29" t="str">
        <x:f>IF(AND(Q7&lt;&gt;"",Q7&lt;TODAY(),I7&lt;&gt;"Done"),"OVERDUE","")</x:f>
      </x:c>
    </x:row>
    <x:row r="8" ht="74" customHeight="1">
      <x:c r="A8" s="29" t="str">
        <x:v>GOV-003</x:v>
      </x:c>
      <x:c r="B8" s="29" t="str">
        <x:v>Architecture and governance</x:v>
      </x:c>
      <x:c r="C8" s="29" t="str">
        <x:v>Provider capability evidence register</x:v>
      </x:c>
      <x:c r="D8" s="29" t="str">
        <x:v>G0</x:v>
      </x:c>
      <x:c r="E8" s="29" t="str">
        <x:v>P0</x:v>
      </x:c>
      <x:c r="F8" s="29" t="str">
        <x:v>Architecture</x:v>
      </x:c>
      <x:c r="G8" s="39"/>
      <x:c r="H8" s="29" t="str"/>
      <x:c r="I8" s="39" t="str">
        <x:v>Not started</x:v>
      </x:c>
      <x:c r="J8" s="33" t="n">
        <x:f>IF(AND(I8="Done",N8&lt;&gt;""),1,0)</x:f>
        <x:v>0</x:v>
      </x:c>
      <x:c r="K8" s="29" t="str">
        <x:v>Every externally exposed capability has version, permission, eligibility, source date and contract-test evidence.</x:v>
      </x:c>
      <x:c r="L8" s="29" t="str">
        <x:v>docs/architecture/; docs/decisions/ (proposed)</x:v>
      </x:c>
      <x:c r="M8" s="29" t="str">
        <x:v>AT-GOV-003</x:v>
      </x:c>
      <x:c r="N8" s="39"/>
      <x:c r="O8" s="41"/>
      <x:c r="P8" s="43"/>
      <x:c r="Q8" s="43"/>
      <x:c r="R8" s="29" t="str">
        <x:v>S01</x:v>
      </x:c>
      <x:c r="S8" s="39" t="str">
        <x:v>Proposed target paths; no repository implementation inspected. Completion requires linked evidence.</x:v>
      </x:c>
      <x:c r="T8" s="29" t="str">
        <x:f>IF(I8="Done",IF(N8="","MISSING EVIDENCE","Review evidence"),"Pending")</x:f>
        <x:v>Pending</x:v>
      </x:c>
      <x:c r="U8" s="29" t="str">
        <x:f>IF(AND(Q8&lt;&gt;"",Q8&lt;TODAY(),I8&lt;&gt;"Done"),"OVERDUE","")</x:f>
      </x:c>
    </x:row>
    <x:row r="9" ht="74" customHeight="1">
      <x:c r="A9" s="29" t="str">
        <x:v>GOV-004</x:v>
      </x:c>
      <x:c r="B9" s="29" t="str">
        <x:v>Architecture and governance</x:v>
      </x:c>
      <x:c r="C9" s="29" t="str">
        <x:v>Threat model and abuse cases</x:v>
      </x:c>
      <x:c r="D9" s="29" t="str">
        <x:v>G0</x:v>
      </x:c>
      <x:c r="E9" s="29" t="str">
        <x:v>P0</x:v>
      </x:c>
      <x:c r="F9" s="29" t="str">
        <x:v>Architecture</x:v>
      </x:c>
      <x:c r="G9" s="39"/>
      <x:c r="H9" s="29" t="str"/>
      <x:c r="I9" s="39" t="str">
        <x:v>Not started</x:v>
      </x:c>
      <x:c r="J9" s="33" t="n">
        <x:f>IF(AND(I9="Done",N9&lt;&gt;""),1,0)</x:f>
        <x:v>0</x:v>
      </x:c>
      <x:c r="K9" s="29" t="str">
        <x:v>Cross-tenant, SSRF, token theft, duplicate payment, prompt injection and platform-abuse cases have mitigations and tests.</x:v>
      </x:c>
      <x:c r="L9" s="29" t="str">
        <x:v>docs/architecture/; docs/decisions/ (proposed)</x:v>
      </x:c>
      <x:c r="M9" s="29" t="str">
        <x:v>AT-GOV-004</x:v>
      </x:c>
      <x:c r="N9" s="39"/>
      <x:c r="O9" s="41"/>
      <x:c r="P9" s="43"/>
      <x:c r="Q9" s="43"/>
      <x:c r="R9" s="29" t="str">
        <x:v>S01</x:v>
      </x:c>
      <x:c r="S9" s="39" t="str">
        <x:v>Proposed target paths; no repository implementation inspected. Completion requires linked evidence.</x:v>
      </x:c>
      <x:c r="T9" s="29" t="str">
        <x:f>IF(I9="Done",IF(N9="","MISSING EVIDENCE","Review evidence"),"Pending")</x:f>
        <x:v>Pending</x:v>
      </x:c>
      <x:c r="U9" s="29" t="str">
        <x:f>IF(AND(Q9&lt;&gt;"",Q9&lt;TODAY(),I9&lt;&gt;"Done"),"OVERDUE","")</x:f>
      </x:c>
    </x:row>
    <x:row r="10" ht="74" customHeight="1">
      <x:c r="A10" s="29" t="str">
        <x:v>GOV-005</x:v>
      </x:c>
      <x:c r="B10" s="29" t="str">
        <x:v>Architecture and governance</x:v>
      </x:c>
      <x:c r="C10" s="29" t="str">
        <x:v>Data classification and residency matrix</x:v>
      </x:c>
      <x:c r="D10" s="29" t="str">
        <x:v>G0</x:v>
      </x:c>
      <x:c r="E10" s="29" t="str">
        <x:v>P0</x:v>
      </x:c>
      <x:c r="F10" s="29" t="str">
        <x:v>Architecture</x:v>
      </x:c>
      <x:c r="G10" s="39"/>
      <x:c r="H10" s="29" t="str"/>
      <x:c r="I10" s="39" t="str">
        <x:v>Not started</x:v>
      </x:c>
      <x:c r="J10" s="33" t="n">
        <x:f>IF(AND(I10="Done",N10&lt;&gt;""),1,0)</x:f>
        <x:v>0</x:v>
      </x:c>
      <x:c r="K10" s="29" t="str">
        <x:v>Every data class has owner, processor purpose, location, retention and deletion path.</x:v>
      </x:c>
      <x:c r="L10" s="29" t="str">
        <x:v>docs/architecture/; docs/decisions/ (proposed)</x:v>
      </x:c>
      <x:c r="M10" s="29" t="str">
        <x:v>AT-GOV-005</x:v>
      </x:c>
      <x:c r="N10" s="39"/>
      <x:c r="O10" s="41"/>
      <x:c r="P10" s="43"/>
      <x:c r="Q10" s="43"/>
      <x:c r="R10" s="29" t="str">
        <x:v>S01</x:v>
      </x:c>
      <x:c r="S10" s="39" t="str">
        <x:v>Proposed target paths; no repository implementation inspected. Completion requires linked evidence.</x:v>
      </x:c>
      <x:c r="T10" s="29" t="str">
        <x:f>IF(I10="Done",IF(N10="","MISSING EVIDENCE","Review evidence"),"Pending")</x:f>
        <x:v>Pending</x:v>
      </x:c>
      <x:c r="U10" s="29" t="str">
        <x:f>IF(AND(Q10&lt;&gt;"",Q10&lt;TODAY(),I10&lt;&gt;"Done"),"OVERDUE","")</x:f>
      </x:c>
    </x:row>
    <x:row r="11" ht="74" customHeight="1">
      <x:c r="A11" s="29" t="str">
        <x:v>GOV-006</x:v>
      </x:c>
      <x:c r="B11" s="29" t="str">
        <x:v>Architecture and governance</x:v>
      </x:c>
      <x:c r="C11" s="29" t="str">
        <x:v>Release decision and exceptions process</x:v>
      </x:c>
      <x:c r="D11" s="29" t="str">
        <x:v>G0</x:v>
      </x:c>
      <x:c r="E11" s="29" t="str">
        <x:v>P0</x:v>
      </x:c>
      <x:c r="F11" s="29" t="str">
        <x:v>Architecture</x:v>
      </x:c>
      <x:c r="G11" s="39"/>
      <x:c r="H11" s="29" t="str"/>
      <x:c r="I11" s="39" t="str">
        <x:v>Not started</x:v>
      </x:c>
      <x:c r="J11" s="33" t="n">
        <x:f>IF(AND(I11="Done",N11&lt;&gt;""),1,0)</x:f>
        <x:v>0</x:v>
      </x:c>
      <x:c r="K11" s="29" t="str">
        <x:v>No critical security or policy gate can be waived by an ordinary developer or sales administrator.</x:v>
      </x:c>
      <x:c r="L11" s="29" t="str">
        <x:v>docs/architecture/; docs/decisions/ (proposed)</x:v>
      </x:c>
      <x:c r="M11" s="29" t="str">
        <x:v>AT-GOV-006</x:v>
      </x:c>
      <x:c r="N11" s="39"/>
      <x:c r="O11" s="41"/>
      <x:c r="P11" s="43"/>
      <x:c r="Q11" s="43"/>
      <x:c r="R11" s="29" t="str">
        <x:v>S01</x:v>
      </x:c>
      <x:c r="S11" s="39" t="str">
        <x:v>Proposed target paths; no repository implementation inspected. Completion requires linked evidence.</x:v>
      </x:c>
      <x:c r="T11" s="29" t="str">
        <x:f>IF(I11="Done",IF(N11="","MISSING EVIDENCE","Review evidence"),"Pending")</x:f>
        <x:v>Pending</x:v>
      </x:c>
      <x:c r="U11" s="29" t="str">
        <x:f>IF(AND(Q11&lt;&gt;"",Q11&lt;TODAY(),I11&lt;&gt;"Done"),"OVERDUE","")</x:f>
      </x:c>
    </x:row>
    <x:row r="12" ht="74" customHeight="1">
      <x:c r="A12" s="29" t="str">
        <x:v>GOV-007</x:v>
      </x:c>
      <x:c r="B12" s="29" t="str">
        <x:v>Architecture and governance</x:v>
      </x:c>
      <x:c r="C12" s="29" t="str">
        <x:v>Capacity and cost approval</x:v>
      </x:c>
      <x:c r="D12" s="29" t="str">
        <x:v>G0</x:v>
      </x:c>
      <x:c r="E12" s="29" t="str">
        <x:v>P0</x:v>
      </x:c>
      <x:c r="F12" s="29" t="str">
        <x:v>Architecture</x:v>
      </x:c>
      <x:c r="G12" s="39"/>
      <x:c r="H12" s="29" t="str"/>
      <x:c r="I12" s="39" t="str">
        <x:v>Not started</x:v>
      </x:c>
      <x:c r="J12" s="33" t="n">
        <x:f>IF(AND(I12="Done",N12&lt;&gt;""),1,0)</x:f>
        <x:v>0</x:v>
      </x:c>
      <x:c r="K12" s="29" t="str">
        <x:v>Workbook assumptions are replaced by measured workload distributions and vendor quotas before scale claims.</x:v>
      </x:c>
      <x:c r="L12" s="29" t="str">
        <x:v>docs/architecture/; docs/decisions/ (proposed)</x:v>
      </x:c>
      <x:c r="M12" s="29" t="str">
        <x:v>AT-GOV-007</x:v>
      </x:c>
      <x:c r="N12" s="39"/>
      <x:c r="O12" s="41"/>
      <x:c r="P12" s="43"/>
      <x:c r="Q12" s="43"/>
      <x:c r="R12" s="29" t="str">
        <x:v>S01</x:v>
      </x:c>
      <x:c r="S12" s="39" t="str">
        <x:v>Proposed target paths; no repository implementation inspected. Completion requires linked evidence.</x:v>
      </x:c>
      <x:c r="T12" s="29" t="str">
        <x:f>IF(I12="Done",IF(N12="","MISSING EVIDENCE","Review evidence"),"Pending")</x:f>
        <x:v>Pending</x:v>
      </x:c>
      <x:c r="U12" s="29" t="str">
        <x:f>IF(AND(Q12&lt;&gt;"",Q12&lt;TODAY(),I12&lt;&gt;"Done"),"OVERDUE","")</x:f>
      </x:c>
    </x:row>
    <x:row r="13" ht="74" customHeight="1">
      <x:c r="A13" s="29" t="str">
        <x:v>PLT-001</x:v>
      </x:c>
      <x:c r="B13" s="29" t="str">
        <x:v>Tenant platform</x:v>
      </x:c>
      <x:c r="C13" s="29" t="str">
        <x:v>Organization, workspace and environment model</x:v>
      </x:c>
      <x:c r="D13" s="29" t="str">
        <x:v>G0</x:v>
      </x:c>
      <x:c r="E13" s="29" t="str">
        <x:v>P0</x:v>
      </x:c>
      <x:c r="F13" s="29" t="str">
        <x:v>Platform</x:v>
      </x:c>
      <x:c r="G13" s="39"/>
      <x:c r="H13" s="29" t="str">
        <x:v>GOV-001</x:v>
      </x:c>
      <x:c r="I13" s="39" t="str">
        <x:v>Not started</x:v>
      </x:c>
      <x:c r="J13" s="33" t="n">
        <x:f>IF(AND(I13="Done",N13&lt;&gt;""),1,0)</x:f>
        <x:v>0</x:v>
      </x:c>
      <x:c r="K13" s="29" t="str">
        <x:v>Server-created tenant/workspace/environment context propagates to every read, write and event.</x:v>
      </x:c>
      <x:c r="L13" s="29" t="str">
        <x:v>services/core/platform/; infra/terraform/ (proposed)</x:v>
      </x:c>
      <x:c r="M13" s="29" t="str">
        <x:v>AT-PLT-001</x:v>
      </x:c>
      <x:c r="N13" s="39"/>
      <x:c r="O13" s="41"/>
      <x:c r="P13" s="43"/>
      <x:c r="Q13" s="43"/>
      <x:c r="R13" s="29" t="str">
        <x:v>S15</x:v>
      </x:c>
      <x:c r="S13" s="39" t="str">
        <x:v>Proposed target paths; no repository implementation inspected. Completion requires linked evidence.</x:v>
      </x:c>
      <x:c r="T13" s="29" t="str">
        <x:f>IF(I13="Done",IF(N13="","MISSING EVIDENCE","Review evidence"),"Pending")</x:f>
        <x:v>Pending</x:v>
      </x:c>
      <x:c r="U13" s="29" t="str">
        <x:f>IF(AND(Q13&lt;&gt;"",Q13&lt;TODAY(),I13&lt;&gt;"Done"),"OVERDUE","")</x:f>
      </x:c>
    </x:row>
    <x:row r="14" ht="74" customHeight="1">
      <x:c r="A14" s="29" t="str">
        <x:v>PLT-002</x:v>
      </x:c>
      <x:c r="B14" s="29" t="str">
        <x:v>Tenant platform</x:v>
      </x:c>
      <x:c r="C14" s="29" t="str">
        <x:v>Identity, login and MFA</x:v>
      </x:c>
      <x:c r="D14" s="29" t="str">
        <x:v>G0</x:v>
      </x:c>
      <x:c r="E14" s="29" t="str">
        <x:v>P0</x:v>
      </x:c>
      <x:c r="F14" s="29" t="str">
        <x:v>Platform</x:v>
      </x:c>
      <x:c r="G14" s="39"/>
      <x:c r="H14" s="29" t="str">
        <x:v>GOV-001</x:v>
      </x:c>
      <x:c r="I14" s="39" t="str">
        <x:v>Not started</x:v>
      </x:c>
      <x:c r="J14" s="33" t="n">
        <x:f>IF(AND(I14="Done",N14&lt;&gt;""),1,0)</x:f>
        <x:v>0</x:v>
      </x:c>
      <x:c r="K14" s="29" t="str">
        <x:v>Login, recovery, MFA, session revocation and account enumeration controls pass security tests.</x:v>
      </x:c>
      <x:c r="L14" s="29" t="str">
        <x:v>services/core/platform/; infra/terraform/ (proposed)</x:v>
      </x:c>
      <x:c r="M14" s="29" t="str">
        <x:v>AT-PLT-002</x:v>
      </x:c>
      <x:c r="N14" s="39"/>
      <x:c r="O14" s="41"/>
      <x:c r="P14" s="43"/>
      <x:c r="Q14" s="43"/>
      <x:c r="R14" s="29" t="str">
        <x:v>S15</x:v>
      </x:c>
      <x:c r="S14" s="39" t="str">
        <x:v>Proposed target paths; no repository implementation inspected. Completion requires linked evidence.</x:v>
      </x:c>
      <x:c r="T14" s="29" t="str">
        <x:f>IF(I14="Done",IF(N14="","MISSING EVIDENCE","Review evidence"),"Pending")</x:f>
        <x:v>Pending</x:v>
      </x:c>
      <x:c r="U14" s="29" t="str">
        <x:f>IF(AND(Q14&lt;&gt;"",Q14&lt;TODAY(),I14&lt;&gt;"Done"),"OVERDUE","")</x:f>
      </x:c>
    </x:row>
    <x:row r="15" ht="74" customHeight="1">
      <x:c r="A15" s="29" t="str">
        <x:v>PLT-003</x:v>
      </x:c>
      <x:c r="B15" s="29" t="str">
        <x:v>Tenant platform</x:v>
      </x:c>
      <x:c r="C15" s="29" t="str">
        <x:v>Role and attribute authorization</x:v>
      </x:c>
      <x:c r="D15" s="29" t="str">
        <x:v>G0</x:v>
      </x:c>
      <x:c r="E15" s="29" t="str">
        <x:v>P0</x:v>
      </x:c>
      <x:c r="F15" s="29" t="str">
        <x:v>Platform</x:v>
      </x:c>
      <x:c r="G15" s="39"/>
      <x:c r="H15" s="29" t="str">
        <x:v>GOV-001</x:v>
      </x:c>
      <x:c r="I15" s="39" t="str">
        <x:v>Not started</x:v>
      </x:c>
      <x:c r="J15" s="33" t="n">
        <x:f>IF(AND(I15="Done",N15&lt;&gt;""),1,0)</x:f>
        <x:v>0</x:v>
      </x:c>
      <x:c r="K15" s="29" t="str">
        <x:v>Owner/admin/agent/developer/billing/custom roles are enforced on API, background and realtime paths.</x:v>
      </x:c>
      <x:c r="L15" s="29" t="str">
        <x:v>services/core/platform/; infra/terraform/ (proposed)</x:v>
      </x:c>
      <x:c r="M15" s="29" t="str">
        <x:v>AT-PLT-003</x:v>
      </x:c>
      <x:c r="N15" s="39"/>
      <x:c r="O15" s="41"/>
      <x:c r="P15" s="43"/>
      <x:c r="Q15" s="43"/>
      <x:c r="R15" s="29" t="str">
        <x:v>S15</x:v>
      </x:c>
      <x:c r="S15" s="39" t="str">
        <x:v>Proposed target paths; no repository implementation inspected. Completion requires linked evidence.</x:v>
      </x:c>
      <x:c r="T15" s="29" t="str">
        <x:f>IF(I15="Done",IF(N15="","MISSING EVIDENCE","Review evidence"),"Pending")</x:f>
        <x:v>Pending</x:v>
      </x:c>
      <x:c r="U15" s="29" t="str">
        <x:f>IF(AND(Q15&lt;&gt;"",Q15&lt;TODAY(),I15&lt;&gt;"Done"),"OVERDUE","")</x:f>
      </x:c>
    </x:row>
    <x:row r="16" ht="74" customHeight="1">
      <x:c r="A16" s="29" t="str">
        <x:v>PLT-004</x:v>
      </x:c>
      <x:c r="B16" s="29" t="str">
        <x:v>Tenant platform</x:v>
      </x:c>
      <x:c r="C16" s="29" t="str">
        <x:v>Cell directory and signed placement</x:v>
      </x:c>
      <x:c r="D16" s="29" t="str">
        <x:v>G0</x:v>
      </x:c>
      <x:c r="E16" s="29" t="str">
        <x:v>P0</x:v>
      </x:c>
      <x:c r="F16" s="29" t="str">
        <x:v>Platform</x:v>
      </x:c>
      <x:c r="G16" s="39"/>
      <x:c r="H16" s="29" t="str">
        <x:v>GOV-001</x:v>
      </x:c>
      <x:c r="I16" s="39" t="str">
        <x:v>Not started</x:v>
      </x:c>
      <x:c r="J16" s="33" t="n">
        <x:f>IF(AND(I16="Done",N16&lt;&gt;""),1,0)</x:f>
        <x:v>0</x:v>
      </x:c>
      <x:c r="K16" s="29" t="str">
        <x:v>Tenant/account routes resolve with versioned cell assignment and ownership epoch; unknown routes fail closed.</x:v>
      </x:c>
      <x:c r="L16" s="29" t="str">
        <x:v>services/core/platform/; infra/terraform/ (proposed)</x:v>
      </x:c>
      <x:c r="M16" s="29" t="str">
        <x:v>AT-PLT-004</x:v>
      </x:c>
      <x:c r="N16" s="39"/>
      <x:c r="O16" s="41"/>
      <x:c r="P16" s="43"/>
      <x:c r="Q16" s="43"/>
      <x:c r="R16" s="29" t="str">
        <x:v>S15</x:v>
      </x:c>
      <x:c r="S16" s="39" t="str">
        <x:v>Proposed target paths; no repository implementation inspected. Completion requires linked evidence.</x:v>
      </x:c>
      <x:c r="T16" s="29" t="str">
        <x:f>IF(I16="Done",IF(N16="","MISSING EVIDENCE","Review evidence"),"Pending")</x:f>
        <x:v>Pending</x:v>
      </x:c>
      <x:c r="U16" s="29" t="str">
        <x:f>IF(AND(Q16&lt;&gt;"",Q16&lt;TODAY(),I16&lt;&gt;"Done"),"OVERDUE","")</x:f>
      </x:c>
    </x:row>
    <x:row r="17" ht="74" customHeight="1">
      <x:c r="A17" s="29" t="str">
        <x:v>PLT-005</x:v>
      </x:c>
      <x:c r="B17" s="29" t="str">
        <x:v>Tenant platform</x:v>
      </x:c>
      <x:c r="C17" s="29" t="str">
        <x:v>Tenant provisioning saga</x:v>
      </x:c>
      <x:c r="D17" s="29" t="str">
        <x:v>G0</x:v>
      </x:c>
      <x:c r="E17" s="29" t="str">
        <x:v>P0</x:v>
      </x:c>
      <x:c r="F17" s="29" t="str">
        <x:v>Platform</x:v>
      </x:c>
      <x:c r="G17" s="39"/>
      <x:c r="H17" s="29" t="str">
        <x:v>GOV-001</x:v>
      </x:c>
      <x:c r="I17" s="39" t="str">
        <x:v>Not started</x:v>
      </x:c>
      <x:c r="J17" s="33" t="n">
        <x:f>IF(AND(I17="Done",N17&lt;&gt;""),1,0)</x:f>
        <x:v>0</x:v>
      </x:c>
      <x:c r="K17" s="29" t="str">
        <x:v>Retries create one tenant, one billing profile and one initial workspace; failed provisioning is recoverable.</x:v>
      </x:c>
      <x:c r="L17" s="29" t="str">
        <x:v>services/core/platform/; infra/terraform/ (proposed)</x:v>
      </x:c>
      <x:c r="M17" s="29" t="str">
        <x:v>AT-PLT-005</x:v>
      </x:c>
      <x:c r="N17" s="39"/>
      <x:c r="O17" s="41"/>
      <x:c r="P17" s="43"/>
      <x:c r="Q17" s="43"/>
      <x:c r="R17" s="29" t="str">
        <x:v>S15</x:v>
      </x:c>
      <x:c r="S17" s="39" t="str">
        <x:v>Proposed target paths; no repository implementation inspected. Completion requires linked evidence.</x:v>
      </x:c>
      <x:c r="T17" s="29" t="str">
        <x:f>IF(I17="Done",IF(N17="","MISSING EVIDENCE","Review evidence"),"Pending")</x:f>
        <x:v>Pending</x:v>
      </x:c>
      <x:c r="U17" s="29" t="str">
        <x:f>IF(AND(Q17&lt;&gt;"",Q17&lt;TODAY(),I17&lt;&gt;"Done"),"OVERDUE","")</x:f>
      </x:c>
    </x:row>
    <x:row r="18" ht="74" customHeight="1">
      <x:c r="A18" s="29" t="str">
        <x:v>PLT-006</x:v>
      </x:c>
      <x:c r="B18" s="29" t="str">
        <x:v>Tenant platform</x:v>
      </x:c>
      <x:c r="C18" s="29" t="str">
        <x:v>Configuration snapshot distribution</x:v>
      </x:c>
      <x:c r="D18" s="29" t="str">
        <x:v>G0</x:v>
      </x:c>
      <x:c r="E18" s="29" t="str">
        <x:v>P0</x:v>
      </x:c>
      <x:c r="F18" s="29" t="str">
        <x:v>Platform</x:v>
      </x:c>
      <x:c r="G18" s="39"/>
      <x:c r="H18" s="29" t="str">
        <x:v>GOV-001</x:v>
      </x:c>
      <x:c r="I18" s="39" t="str">
        <x:v>Not started</x:v>
      </x:c>
      <x:c r="J18" s="33" t="n">
        <x:f>IF(AND(I18="Done",N18&lt;&gt;""),1,0)</x:f>
        <x:v>0</x:v>
      </x:c>
      <x:c r="K18" s="29" t="str">
        <x:v>Healthy cell processes existing workloads during global control-plane outage using valid signed snapshots.</x:v>
      </x:c>
      <x:c r="L18" s="29" t="str">
        <x:v>services/core/platform/; infra/terraform/ (proposed)</x:v>
      </x:c>
      <x:c r="M18" s="29" t="str">
        <x:v>AT-PLT-006</x:v>
      </x:c>
      <x:c r="N18" s="39"/>
      <x:c r="O18" s="41"/>
      <x:c r="P18" s="43"/>
      <x:c r="Q18" s="43"/>
      <x:c r="R18" s="29" t="str">
        <x:v>S15</x:v>
      </x:c>
      <x:c r="S18" s="39" t="str">
        <x:v>Proposed target paths; no repository implementation inspected. Completion requires linked evidence.</x:v>
      </x:c>
      <x:c r="T18" s="29" t="str">
        <x:f>IF(I18="Done",IF(N18="","MISSING EVIDENCE","Review evidence"),"Pending")</x:f>
        <x:v>Pending</x:v>
      </x:c>
      <x:c r="U18" s="29" t="str">
        <x:f>IF(AND(Q18&lt;&gt;"",Q18&lt;TODAY(),I18&lt;&gt;"Done"),"OVERDUE","")</x:f>
      </x:c>
    </x:row>
    <x:row r="19" ht="74" customHeight="1">
      <x:c r="A19" s="29" t="str">
        <x:v>PLT-007</x:v>
      </x:c>
      <x:c r="B19" s="29" t="str">
        <x:v>Tenant platform</x:v>
      </x:c>
      <x:c r="C19" s="29" t="str">
        <x:v>Feature entitlements and quotas</x:v>
      </x:c>
      <x:c r="D19" s="29" t="str">
        <x:v>G0</x:v>
      </x:c>
      <x:c r="E19" s="29" t="str">
        <x:v>P0</x:v>
      </x:c>
      <x:c r="F19" s="29" t="str">
        <x:v>Platform</x:v>
      </x:c>
      <x:c r="G19" s="39"/>
      <x:c r="H19" s="29" t="str">
        <x:v>GOV-001</x:v>
      </x:c>
      <x:c r="I19" s="39" t="str">
        <x:v>Not started</x:v>
      </x:c>
      <x:c r="J19" s="33" t="n">
        <x:f>IF(AND(I19="Done",N19&lt;&gt;""),1,0)</x:f>
        <x:v>0</x:v>
      </x:c>
      <x:c r="K19" s="29" t="str">
        <x:v>Plans enforce feature, cost and volume limits without hardcoded plan-name branches.</x:v>
      </x:c>
      <x:c r="L19" s="29" t="str">
        <x:v>services/core/platform/; infra/terraform/ (proposed)</x:v>
      </x:c>
      <x:c r="M19" s="29" t="str">
        <x:v>AT-PLT-007</x:v>
      </x:c>
      <x:c r="N19" s="39"/>
      <x:c r="O19" s="41"/>
      <x:c r="P19" s="43"/>
      <x:c r="Q19" s="43"/>
      <x:c r="R19" s="29" t="str">
        <x:v>S15</x:v>
      </x:c>
      <x:c r="S19" s="39" t="str">
        <x:v>Proposed target paths; no repository implementation inspected. Completion requires linked evidence.</x:v>
      </x:c>
      <x:c r="T19" s="29" t="str">
        <x:f>IF(I19="Done",IF(N19="","MISSING EVIDENCE","Review evidence"),"Pending")</x:f>
        <x:v>Pending</x:v>
      </x:c>
      <x:c r="U19" s="29" t="str">
        <x:f>IF(AND(Q19&lt;&gt;"",Q19&lt;TODAY(),I19&lt;&gt;"Done"),"OVERDUE","")</x:f>
      </x:c>
    </x:row>
    <x:row r="20" ht="74" customHeight="1">
      <x:c r="A20" s="29" t="str">
        <x:v>PLT-008</x:v>
      </x:c>
      <x:c r="B20" s="29" t="str">
        <x:v>Tenant platform</x:v>
      </x:c>
      <x:c r="C20" s="29" t="str">
        <x:v>Secrets and credential references</x:v>
      </x:c>
      <x:c r="D20" s="29" t="str">
        <x:v>G0</x:v>
      </x:c>
      <x:c r="E20" s="29" t="str">
        <x:v>P0</x:v>
      </x:c>
      <x:c r="F20" s="29" t="str">
        <x:v>Platform</x:v>
      </x:c>
      <x:c r="G20" s="39"/>
      <x:c r="H20" s="29" t="str">
        <x:v>GOV-001</x:v>
      </x:c>
      <x:c r="I20" s="39" t="str">
        <x:v>Not started</x:v>
      </x:c>
      <x:c r="J20" s="33" t="n">
        <x:f>IF(AND(I20="Done",N20&lt;&gt;""),1,0)</x:f>
        <x:v>0</x:v>
      </x:c>
      <x:c r="K20" s="29" t="str">
        <x:v>Secrets never appear in browser, logs, exports or workflow definitions; rotation is audited.</x:v>
      </x:c>
      <x:c r="L20" s="29" t="str">
        <x:v>services/core/platform/; infra/terraform/ (proposed)</x:v>
      </x:c>
      <x:c r="M20" s="29" t="str">
        <x:v>AT-PLT-008</x:v>
      </x:c>
      <x:c r="N20" s="39"/>
      <x:c r="O20" s="41"/>
      <x:c r="P20" s="43"/>
      <x:c r="Q20" s="43"/>
      <x:c r="R20" s="29" t="str">
        <x:v>S15</x:v>
      </x:c>
      <x:c r="S20" s="39" t="str">
        <x:v>Proposed target paths; no repository implementation inspected. Completion requires linked evidence.</x:v>
      </x:c>
      <x:c r="T20" s="29" t="str">
        <x:f>IF(I20="Done",IF(N20="","MISSING EVIDENCE","Review evidence"),"Pending")</x:f>
        <x:v>Pending</x:v>
      </x:c>
      <x:c r="U20" s="29" t="str">
        <x:f>IF(AND(Q20&lt;&gt;"",Q20&lt;TODAY(),I20&lt;&gt;"Done"),"OVERDUE","")</x:f>
      </x:c>
    </x:row>
    <x:row r="21" ht="74" customHeight="1">
      <x:c r="A21" s="29" t="str">
        <x:v>PLT-009</x:v>
      </x:c>
      <x:c r="B21" s="29" t="str">
        <x:v>Tenant platform</x:v>
      </x:c>
      <x:c r="C21" s="29" t="str">
        <x:v>Agency delegation isolation</x:v>
      </x:c>
      <x:c r="D21" s="29" t="str">
        <x:v>G0</x:v>
      </x:c>
      <x:c r="E21" s="29" t="str">
        <x:v>P0</x:v>
      </x:c>
      <x:c r="F21" s="29" t="str">
        <x:v>Platform</x:v>
      </x:c>
      <x:c r="G21" s="39"/>
      <x:c r="H21" s="29" t="str">
        <x:v>GOV-001</x:v>
      </x:c>
      <x:c r="I21" s="39" t="str">
        <x:v>Not started</x:v>
      </x:c>
      <x:c r="J21" s="33" t="n">
        <x:f>IF(AND(I21="Done",N21&lt;&gt;""),1,0)</x:f>
        <x:v>0</x:v>
      </x:c>
      <x:c r="K21" s="29" t="str">
        <x:v>Partner permissions require explicit tenant grants and do not create implicit cross-tenant data visibility.</x:v>
      </x:c>
      <x:c r="L21" s="29" t="str">
        <x:v>services/core/platform/; infra/terraform/ (proposed)</x:v>
      </x:c>
      <x:c r="M21" s="29" t="str">
        <x:v>AT-PLT-009</x:v>
      </x:c>
      <x:c r="N21" s="39"/>
      <x:c r="O21" s="41"/>
      <x:c r="P21" s="43"/>
      <x:c r="Q21" s="43"/>
      <x:c r="R21" s="29" t="str">
        <x:v>S15</x:v>
      </x:c>
      <x:c r="S21" s="39" t="str">
        <x:v>Proposed target paths; no repository implementation inspected. Completion requires linked evidence.</x:v>
      </x:c>
      <x:c r="T21" s="29" t="str">
        <x:f>IF(I21="Done",IF(N21="","MISSING EVIDENCE","Review evidence"),"Pending")</x:f>
        <x:v>Pending</x:v>
      </x:c>
      <x:c r="U21" s="29" t="str">
        <x:f>IF(AND(Q21&lt;&gt;"",Q21&lt;TODAY(),I21&lt;&gt;"Done"),"OVERDUE","")</x:f>
      </x:c>
    </x:row>
    <x:row r="22" ht="74" customHeight="1">
      <x:c r="A22" s="29" t="str">
        <x:v>PLT-010</x:v>
      </x:c>
      <x:c r="B22" s="29" t="str">
        <x:v>Tenant platform</x:v>
      </x:c>
      <x:c r="C22" s="29" t="str">
        <x:v>Offboarding and tenant suspension</x:v>
      </x:c>
      <x:c r="D22" s="29" t="str">
        <x:v>G0</x:v>
      </x:c>
      <x:c r="E22" s="29" t="str">
        <x:v>P0</x:v>
      </x:c>
      <x:c r="F22" s="29" t="str">
        <x:v>Platform</x:v>
      </x:c>
      <x:c r="G22" s="39"/>
      <x:c r="H22" s="29" t="str">
        <x:v>GOV-001</x:v>
      </x:c>
      <x:c r="I22" s="39" t="str">
        <x:v>Not started</x:v>
      </x:c>
      <x:c r="J22" s="33" t="n">
        <x:f>IF(AND(I22="Done",N22&lt;&gt;""),1,0)</x:f>
        <x:v>0</x:v>
      </x:c>
      <x:c r="K22" s="29" t="str">
        <x:v>Suspension blocks new sends and sensitive reads; durable incoming data follows documented retention policy.</x:v>
      </x:c>
      <x:c r="L22" s="29" t="str">
        <x:v>services/core/platform/; infra/terraform/ (proposed)</x:v>
      </x:c>
      <x:c r="M22" s="29" t="str">
        <x:v>AT-PLT-010</x:v>
      </x:c>
      <x:c r="N22" s="39"/>
      <x:c r="O22" s="41"/>
      <x:c r="P22" s="43"/>
      <x:c r="Q22" s="43"/>
      <x:c r="R22" s="29" t="str">
        <x:v>S15</x:v>
      </x:c>
      <x:c r="S22" s="39" t="str">
        <x:v>Proposed target paths; no repository implementation inspected. Completion requires linked evidence.</x:v>
      </x:c>
      <x:c r="T22" s="29" t="str">
        <x:f>IF(I22="Done",IF(N22="","MISSING EVIDENCE","Review evidence"),"Pending")</x:f>
        <x:v>Pending</x:v>
      </x:c>
      <x:c r="U22" s="29" t="str">
        <x:f>IF(AND(Q22&lt;&gt;"",Q22&lt;TODAY(),I22&lt;&gt;"Done"),"OVERDUE","")</x:f>
      </x:c>
    </x:row>
    <x:row r="23" ht="74" customHeight="1">
      <x:c r="A23" s="29" t="str">
        <x:v>PLT-011</x:v>
      </x:c>
      <x:c r="B23" s="29" t="str">
        <x:v>Tenant platform</x:v>
      </x:c>
      <x:c r="C23" s="29" t="str">
        <x:v>Tenant migration fencing</x:v>
      </x:c>
      <x:c r="D23" s="29" t="str">
        <x:v>G2</x:v>
      </x:c>
      <x:c r="E23" s="29" t="str">
        <x:v>P1</x:v>
      </x:c>
      <x:c r="F23" s="29" t="str">
        <x:v>Platform</x:v>
      </x:c>
      <x:c r="G23" s="39"/>
      <x:c r="H23" s="29" t="str">
        <x:v>GOV-001</x:v>
      </x:c>
      <x:c r="I23" s="39" t="str">
        <x:v>Not started</x:v>
      </x:c>
      <x:c r="J23" s="33" t="n">
        <x:f>IF(AND(I23="Done",N23&lt;&gt;""),1,0)</x:f>
        <x:v>0</x:v>
      </x:c>
      <x:c r="K23" s="29" t="str">
        <x:v>Old and new cells cannot both execute side effects during cutover; event reconciliation passes.</x:v>
      </x:c>
      <x:c r="L23" s="29" t="str">
        <x:v>services/core/platform/; infra/terraform/ (proposed)</x:v>
      </x:c>
      <x:c r="M23" s="29" t="str">
        <x:v>AT-PLT-011</x:v>
      </x:c>
      <x:c r="N23" s="39"/>
      <x:c r="O23" s="41"/>
      <x:c r="P23" s="43"/>
      <x:c r="Q23" s="43"/>
      <x:c r="R23" s="29" t="str">
        <x:v>S15</x:v>
      </x:c>
      <x:c r="S23" s="39" t="str">
        <x:v>Proposed target paths; no repository implementation inspected. Completion requires linked evidence.</x:v>
      </x:c>
      <x:c r="T23" s="29" t="str">
        <x:f>IF(I23="Done",IF(N23="","MISSING EVIDENCE","Review evidence"),"Pending")</x:f>
        <x:v>Pending</x:v>
      </x:c>
      <x:c r="U23" s="29" t="str">
        <x:f>IF(AND(Q23&lt;&gt;"",Q23&lt;TODAY(),I23&lt;&gt;"Done"),"OVERDUE","")</x:f>
      </x:c>
    </x:row>
    <x:row r="24" ht="74" customHeight="1">
      <x:c r="A24" s="29" t="str">
        <x:v>PLT-012</x:v>
      </x:c>
      <x:c r="B24" s="29" t="str">
        <x:v>Tenant platform</x:v>
      </x:c>
      <x:c r="C24" s="29" t="str">
        <x:v>Developer sandbox isolation</x:v>
      </x:c>
      <x:c r="D24" s="29" t="str">
        <x:v>G0</x:v>
      </x:c>
      <x:c r="E24" s="29" t="str">
        <x:v>P0</x:v>
      </x:c>
      <x:c r="F24" s="29" t="str">
        <x:v>Platform</x:v>
      </x:c>
      <x:c r="G24" s="39"/>
      <x:c r="H24" s="29" t="str">
        <x:v>GOV-001</x:v>
      </x:c>
      <x:c r="I24" s="39" t="str">
        <x:v>Not started</x:v>
      </x:c>
      <x:c r="J24" s="33" t="n">
        <x:f>IF(AND(I24="Done",N24&lt;&gt;""),1,0)</x:f>
        <x:v>0</x:v>
      </x:c>
      <x:c r="K24" s="29" t="str">
        <x:v>Sandbox cannot obtain production credentials or address real customers through any action path.</x:v>
      </x:c>
      <x:c r="L24" s="29" t="str">
        <x:v>services/core/platform/; infra/terraform/ (proposed)</x:v>
      </x:c>
      <x:c r="M24" s="29" t="str">
        <x:v>AT-PLT-012</x:v>
      </x:c>
      <x:c r="N24" s="39"/>
      <x:c r="O24" s="41"/>
      <x:c r="P24" s="43"/>
      <x:c r="Q24" s="43"/>
      <x:c r="R24" s="29" t="str">
        <x:v>S15</x:v>
      </x:c>
      <x:c r="S24" s="39" t="str">
        <x:v>Proposed target paths; no repository implementation inspected. Completion requires linked evidence.</x:v>
      </x:c>
      <x:c r="T24" s="29" t="str">
        <x:f>IF(I24="Done",IF(N24="","MISSING EVIDENCE","Review evidence"),"Pending")</x:f>
        <x:v>Pending</x:v>
      </x:c>
      <x:c r="U24" s="29" t="str">
        <x:f>IF(AND(Q24&lt;&gt;"",Q24&lt;TODAY(),I24&lt;&gt;"Done"),"OVERDUE","")</x:f>
      </x:c>
    </x:row>
    <x:row r="25" ht="74" customHeight="1">
      <x:c r="A25" s="29" t="str">
        <x:v>DAT-001</x:v>
      </x:c>
      <x:c r="B25" s="29" t="str">
        <x:v>Data persistence</x:v>
      </x:c>
      <x:c r="C25" s="29" t="str">
        <x:v>PostgreSQL schema and migrations</x:v>
      </x:c>
      <x:c r="D25" s="29" t="str">
        <x:v>G0</x:v>
      </x:c>
      <x:c r="E25" s="29" t="str">
        <x:v>P0</x:v>
      </x:c>
      <x:c r="F25" s="29" t="str">
        <x:v>Data</x:v>
      </x:c>
      <x:c r="G25" s="39"/>
      <x:c r="H25" s="29" t="str">
        <x:v>PLT-001</x:v>
      </x:c>
      <x:c r="I25" s="39" t="str">
        <x:v>Not started</x:v>
      </x:c>
      <x:c r="J25" s="33" t="n">
        <x:f>IF(AND(I25="Done",N25&lt;&gt;""),1,0)</x:f>
        <x:v>0</x:v>
      </x:c>
      <x:c r="K25" s="29" t="str">
        <x:v>Control-plane tables use composite tenant keys, RLS and reversible expand-contract migrations.</x:v>
      </x:c>
      <x:c r="L25" s="29" t="str">
        <x:v>services/core/persistence/; services/messaging/store/ (proposed)</x:v>
      </x:c>
      <x:c r="M25" s="29" t="str">
        <x:v>AT-DAT-001</x:v>
      </x:c>
      <x:c r="N25" s="39"/>
      <x:c r="O25" s="41"/>
      <x:c r="P25" s="43"/>
      <x:c r="Q25" s="43"/>
      <x:c r="R25" s="29" t="str">
        <x:v>S21-S27</x:v>
      </x:c>
      <x:c r="S25" s="39" t="str">
        <x:v>Proposed target paths; no repository implementation inspected. Completion requires linked evidence.</x:v>
      </x:c>
      <x:c r="T25" s="29" t="str">
        <x:f>IF(I25="Done",IF(N25="","MISSING EVIDENCE","Review evidence"),"Pending")</x:f>
        <x:v>Pending</x:v>
      </x:c>
      <x:c r="U25" s="29" t="str">
        <x:f>IF(AND(Q25&lt;&gt;"",Q25&lt;TODAY(),I25&lt;&gt;"Done"),"OVERDUE","")</x:f>
      </x:c>
    </x:row>
    <x:row r="26" ht="74" customHeight="1">
      <x:c r="A26" s="29" t="str">
        <x:v>DAT-002</x:v>
      </x:c>
      <x:c r="B26" s="29" t="str">
        <x:v>Data persistence</x:v>
      </x:c>
      <x:c r="C26" s="29" t="str">
        <x:v>DynamoDB command journal</x:v>
      </x:c>
      <x:c r="D26" s="29" t="str">
        <x:v>G0</x:v>
      </x:c>
      <x:c r="E26" s="29" t="str">
        <x:v>P0</x:v>
      </x:c>
      <x:c r="F26" s="29" t="str">
        <x:v>Data</x:v>
      </x:c>
      <x:c r="G26" s="39"/>
      <x:c r="H26" s="29" t="str">
        <x:v>PLT-001</x:v>
      </x:c>
      <x:c r="I26" s="39" t="str">
        <x:v>Not started</x:v>
      </x:c>
      <x:c r="J26" s="33" t="n">
        <x:f>IF(AND(I26="Done",N26&lt;&gt;""),1,0)</x:f>
        <x:v>0</x:v>
      </x:c>
      <x:c r="K26" s="29" t="str">
        <x:v>Conditional acceptance returns a stable ID; same key/different content fails; accepted command survives process death.</x:v>
      </x:c>
      <x:c r="L26" s="29" t="str">
        <x:v>services/core/persistence/; services/messaging/store/ (proposed)</x:v>
      </x:c>
      <x:c r="M26" s="29" t="str">
        <x:v>AT-DAT-002</x:v>
      </x:c>
      <x:c r="N26" s="39"/>
      <x:c r="O26" s="41"/>
      <x:c r="P26" s="43"/>
      <x:c r="Q26" s="43"/>
      <x:c r="R26" s="29" t="str">
        <x:v>S21-S27</x:v>
      </x:c>
      <x:c r="S26" s="39" t="str">
        <x:v>Proposed target paths; no repository implementation inspected. Completion requires linked evidence.</x:v>
      </x:c>
      <x:c r="T26" s="29" t="str">
        <x:f>IF(I26="Done",IF(N26="","MISSING EVIDENCE","Review evidence"),"Pending")</x:f>
        <x:v>Pending</x:v>
      </x:c>
      <x:c r="U26" s="29" t="str">
        <x:f>IF(AND(Q26&lt;&gt;"",Q26&lt;TODAY(),I26&lt;&gt;"Done"),"OVERDUE","")</x:f>
      </x:c>
    </x:row>
    <x:row r="27" ht="74" customHeight="1">
      <x:c r="A27" s="29" t="str">
        <x:v>DAT-003</x:v>
      </x:c>
      <x:c r="B27" s="29" t="str">
        <x:v>Data persistence</x:v>
      </x:c>
      <x:c r="C27" s="29" t="str">
        <x:v>Durable outbox recovery</x:v>
      </x:c>
      <x:c r="D27" s="29" t="str">
        <x:v>G0</x:v>
      </x:c>
      <x:c r="E27" s="29" t="str">
        <x:v>P0</x:v>
      </x:c>
      <x:c r="F27" s="29" t="str">
        <x:v>Data</x:v>
      </x:c>
      <x:c r="G27" s="39"/>
      <x:c r="H27" s="29" t="str">
        <x:v>PLT-001</x:v>
      </x:c>
      <x:c r="I27" s="39" t="str">
        <x:v>Not started</x:v>
      </x:c>
      <x:c r="J27" s="33" t="n">
        <x:f>IF(AND(I27="Done",N27&lt;&gt;""),1,0)</x:f>
        <x:v>0</x:v>
      </x:c>
      <x:c r="K27" s="29" t="str">
        <x:v>CDC outage beyond stream retention recovers pending commands through sharded durable outbox queries.</x:v>
      </x:c>
      <x:c r="L27" s="29" t="str">
        <x:v>services/core/persistence/; services/messaging/store/ (proposed)</x:v>
      </x:c>
      <x:c r="M27" s="29" t="str">
        <x:v>AT-DAT-003</x:v>
      </x:c>
      <x:c r="N27" s="39"/>
      <x:c r="O27" s="41"/>
      <x:c r="P27" s="43"/>
      <x:c r="Q27" s="43"/>
      <x:c r="R27" s="29" t="str">
        <x:v>S21-S27</x:v>
      </x:c>
      <x:c r="S27" s="39" t="str">
        <x:v>Proposed target paths; no repository implementation inspected. Completion requires linked evidence.</x:v>
      </x:c>
      <x:c r="T27" s="29" t="str">
        <x:f>IF(I27="Done",IF(N27="","MISSING EVIDENCE","Review evidence"),"Pending")</x:f>
        <x:v>Pending</x:v>
      </x:c>
      <x:c r="U27" s="29" t="str">
        <x:f>IF(AND(Q27&lt;&gt;"",Q27&lt;TODAY(),I27&lt;&gt;"Done"),"OVERDUE","")</x:f>
      </x:c>
    </x:row>
    <x:row r="28" ht="74" customHeight="1">
      <x:c r="A28" s="29" t="str">
        <x:v>DAT-004</x:v>
      </x:c>
      <x:c r="B28" s="29" t="str">
        <x:v>Data persistence</x:v>
      </x:c>
      <x:c r="C28" s="29" t="str">
        <x:v>Message timeline projection</x:v>
      </x:c>
      <x:c r="D28" s="29" t="str">
        <x:v>G0</x:v>
      </x:c>
      <x:c r="E28" s="29" t="str">
        <x:v>P0</x:v>
      </x:c>
      <x:c r="F28" s="29" t="str">
        <x:v>Data</x:v>
      </x:c>
      <x:c r="G28" s="39"/>
      <x:c r="H28" s="29" t="str">
        <x:v>PLT-001</x:v>
      </x:c>
      <x:c r="I28" s="39" t="str">
        <x:v>Not started</x:v>
      </x:c>
      <x:c r="J28" s="33" t="n">
        <x:f>IF(AND(I28="Done",N28&lt;&gt;""),1,0)</x:f>
        <x:v>0</x:v>
      </x:c>
      <x:c r="K28" s="29" t="str">
        <x:v>Conversation bucket queries return stable cursor pagination and deduplicate provider messages.</x:v>
      </x:c>
      <x:c r="L28" s="29" t="str">
        <x:v>services/core/persistence/; services/messaging/store/ (proposed)</x:v>
      </x:c>
      <x:c r="M28" s="29" t="str">
        <x:v>AT-DAT-004</x:v>
      </x:c>
      <x:c r="N28" s="39"/>
      <x:c r="O28" s="41"/>
      <x:c r="P28" s="43"/>
      <x:c r="Q28" s="43"/>
      <x:c r="R28" s="29" t="str">
        <x:v>S21-S27</x:v>
      </x:c>
      <x:c r="S28" s="39" t="str">
        <x:v>Proposed target paths; no repository implementation inspected. Completion requires linked evidence.</x:v>
      </x:c>
      <x:c r="T28" s="29" t="str">
        <x:f>IF(I28="Done",IF(N28="","MISSING EVIDENCE","Review evidence"),"Pending")</x:f>
        <x:v>Pending</x:v>
      </x:c>
      <x:c r="U28" s="29" t="str">
        <x:f>IF(AND(Q28&lt;&gt;"",Q28&lt;TODAY(),I28&lt;&gt;"Done"),"OVERDUE","")</x:f>
      </x:c>
    </x:row>
    <x:row r="29" ht="74" customHeight="1">
      <x:c r="A29" s="29" t="str">
        <x:v>DAT-005</x:v>
      </x:c>
      <x:c r="B29" s="29" t="str">
        <x:v>Data persistence</x:v>
      </x:c>
      <x:c r="C29" s="29" t="str">
        <x:v>Message status evidence store</x:v>
      </x:c>
      <x:c r="D29" s="29" t="str">
        <x:v>G0</x:v>
      </x:c>
      <x:c r="E29" s="29" t="str">
        <x:v>P0</x:v>
      </x:c>
      <x:c r="F29" s="29" t="str">
        <x:v>Data</x:v>
      </x:c>
      <x:c r="G29" s="39"/>
      <x:c r="H29" s="29" t="str">
        <x:v>PLT-001</x:v>
      </x:c>
      <x:c r="I29" s="39" t="str">
        <x:v>Not started</x:v>
      </x:c>
      <x:c r="J29" s="33" t="n">
        <x:f>IF(AND(I29="Done",N29&lt;&gt;""),1,0)</x:f>
        <x:v>0</x:v>
      </x:c>
      <x:c r="K29" s="29" t="str">
        <x:v>Out-of-order statuses preserve all facts and cannot downgrade observed delivery or read evidence.</x:v>
      </x:c>
      <x:c r="L29" s="29" t="str">
        <x:v>services/core/persistence/; services/messaging/store/ (proposed)</x:v>
      </x:c>
      <x:c r="M29" s="29" t="str">
        <x:v>AT-DAT-005</x:v>
      </x:c>
      <x:c r="N29" s="39"/>
      <x:c r="O29" s="41"/>
      <x:c r="P29" s="43"/>
      <x:c r="Q29" s="43"/>
      <x:c r="R29" s="29" t="str">
        <x:v>S21-S27</x:v>
      </x:c>
      <x:c r="S29" s="39" t="str">
        <x:v>Proposed target paths; no repository implementation inspected. Completion requires linked evidence.</x:v>
      </x:c>
      <x:c r="T29" s="29" t="str">
        <x:f>IF(I29="Done",IF(N29="","MISSING EVIDENCE","Review evidence"),"Pending")</x:f>
        <x:v>Pending</x:v>
      </x:c>
      <x:c r="U29" s="29" t="str">
        <x:f>IF(AND(Q29&lt;&gt;"",Q29&lt;TODAY(),I29&lt;&gt;"Done"),"OVERDUE","")</x:f>
      </x:c>
    </x:row>
    <x:row r="30" ht="74" customHeight="1">
      <x:c r="A30" s="29" t="str">
        <x:v>DAT-006</x:v>
      </x:c>
      <x:c r="B30" s="29" t="str">
        <x:v>Data persistence</x:v>
      </x:c>
      <x:c r="C30" s="29" t="str">
        <x:v>Customer and consent records</x:v>
      </x:c>
      <x:c r="D30" s="29" t="str">
        <x:v>G0</x:v>
      </x:c>
      <x:c r="E30" s="29" t="str">
        <x:v>P0</x:v>
      </x:c>
      <x:c r="F30" s="29" t="str">
        <x:v>Data</x:v>
      </x:c>
      <x:c r="G30" s="39"/>
      <x:c r="H30" s="29" t="str">
        <x:v>PLT-001</x:v>
      </x:c>
      <x:c r="I30" s="39" t="str">
        <x:v>Not started</x:v>
      </x:c>
      <x:c r="J30" s="33" t="n">
        <x:f>IF(AND(I30="Done",N30&lt;&gt;""),1,0)</x:f>
        <x:v>0</x:v>
      </x:c>
      <x:c r="K30" s="29" t="str">
        <x:v>Verified identities, consent purpose and provenance are separate from AI-inferred attributes.</x:v>
      </x:c>
      <x:c r="L30" s="29" t="str">
        <x:v>services/core/persistence/; services/messaging/store/ (proposed)</x:v>
      </x:c>
      <x:c r="M30" s="29" t="str">
        <x:v>AT-DAT-006</x:v>
      </x:c>
      <x:c r="N30" s="39"/>
      <x:c r="O30" s="41"/>
      <x:c r="P30" s="43"/>
      <x:c r="Q30" s="43"/>
      <x:c r="R30" s="29" t="str">
        <x:v>S21-S27</x:v>
      </x:c>
      <x:c r="S30" s="39" t="str">
        <x:v>Proposed target paths; no repository implementation inspected. Completion requires linked evidence.</x:v>
      </x:c>
      <x:c r="T30" s="29" t="str">
        <x:f>IF(I30="Done",IF(N30="","MISSING EVIDENCE","Review evidence"),"Pending")</x:f>
        <x:v>Pending</x:v>
      </x:c>
      <x:c r="U30" s="29" t="str">
        <x:f>IF(AND(Q30&lt;&gt;"",Q30&lt;TODAY(),I30&lt;&gt;"Done"),"OVERDUE","")</x:f>
      </x:c>
    </x:row>
    <x:row r="31" ht="74" customHeight="1">
      <x:c r="A31" s="29" t="str">
        <x:v>DAT-007</x:v>
      </x:c>
      <x:c r="B31" s="29" t="str">
        <x:v>Data persistence</x:v>
      </x:c>
      <x:c r="C31" s="29" t="str">
        <x:v>Object storage and media metadata</x:v>
      </x:c>
      <x:c r="D31" s="29" t="str">
        <x:v>G0</x:v>
      </x:c>
      <x:c r="E31" s="29" t="str">
        <x:v>P0</x:v>
      </x:c>
      <x:c r="F31" s="29" t="str">
        <x:v>Data</x:v>
      </x:c>
      <x:c r="G31" s="39"/>
      <x:c r="H31" s="29" t="str">
        <x:v>PLT-001</x:v>
      </x:c>
      <x:c r="I31" s="39" t="str">
        <x:v>Not started</x:v>
      </x:c>
      <x:c r="J31" s="33" t="n">
        <x:f>IF(AND(I31="Done",N31&lt;&gt;""),1,0)</x:f>
        <x:v>0</x:v>
      </x:c>
      <x:c r="K31" s="29" t="str">
        <x:v>Upload, scan, encryption, hash verification, retention and authorized retrieval are tested.</x:v>
      </x:c>
      <x:c r="L31" s="29" t="str">
        <x:v>services/core/persistence/; services/messaging/store/ (proposed)</x:v>
      </x:c>
      <x:c r="M31" s="29" t="str">
        <x:v>AT-DAT-007</x:v>
      </x:c>
      <x:c r="N31" s="39"/>
      <x:c r="O31" s="41"/>
      <x:c r="P31" s="43"/>
      <x:c r="Q31" s="43"/>
      <x:c r="R31" s="29" t="str">
        <x:v>S21-S27</x:v>
      </x:c>
      <x:c r="S31" s="39" t="str">
        <x:v>Proposed target paths; no repository implementation inspected. Completion requires linked evidence.</x:v>
      </x:c>
      <x:c r="T31" s="29" t="str">
        <x:f>IF(I31="Done",IF(N31="","MISSING EVIDENCE","Review evidence"),"Pending")</x:f>
        <x:v>Pending</x:v>
      </x:c>
      <x:c r="U31" s="29" t="str">
        <x:f>IF(AND(Q31&lt;&gt;"",Q31&lt;TODAY(),I31&lt;&gt;"Done"),"OVERDUE","")</x:f>
      </x:c>
    </x:row>
    <x:row r="32" ht="74" customHeight="1">
      <x:c r="A32" s="29" t="str">
        <x:v>DAT-008</x:v>
      </x:c>
      <x:c r="B32" s="29" t="str">
        <x:v>Data persistence</x:v>
      </x:c>
      <x:c r="C32" s="29" t="str">
        <x:v>Search indexes and rebuilds</x:v>
      </x:c>
      <x:c r="D32" s="29" t="str">
        <x:v>G0</x:v>
      </x:c>
      <x:c r="E32" s="29" t="str">
        <x:v>P0</x:v>
      </x:c>
      <x:c r="F32" s="29" t="str">
        <x:v>Data</x:v>
      </x:c>
      <x:c r="G32" s="39"/>
      <x:c r="H32" s="29" t="str">
        <x:v>PLT-001</x:v>
      </x:c>
      <x:c r="I32" s="39" t="str">
        <x:v>Not started</x:v>
      </x:c>
      <x:c r="J32" s="33" t="n">
        <x:f>IF(AND(I32="Done",N32&lt;&gt;""),1,0)</x:f>
        <x:v>0</x:v>
      </x:c>
      <x:c r="K32" s="29" t="str">
        <x:v>Search is tenant-filtered and rebuildable; deletion removes index copies and caches.</x:v>
      </x:c>
      <x:c r="L32" s="29" t="str">
        <x:v>services/core/persistence/; services/messaging/store/ (proposed)</x:v>
      </x:c>
      <x:c r="M32" s="29" t="str">
        <x:v>AT-DAT-008</x:v>
      </x:c>
      <x:c r="N32" s="39"/>
      <x:c r="O32" s="41"/>
      <x:c r="P32" s="43"/>
      <x:c r="Q32" s="43"/>
      <x:c r="R32" s="29" t="str">
        <x:v>S21-S27</x:v>
      </x:c>
      <x:c r="S32" s="39" t="str">
        <x:v>Proposed target paths; no repository implementation inspected. Completion requires linked evidence.</x:v>
      </x:c>
      <x:c r="T32" s="29" t="str">
        <x:f>IF(I32="Done",IF(N32="","MISSING EVIDENCE","Review evidence"),"Pending")</x:f>
        <x:v>Pending</x:v>
      </x:c>
      <x:c r="U32" s="29" t="str">
        <x:f>IF(AND(Q32&lt;&gt;"",Q32&lt;TODAY(),I32&lt;&gt;"Done"),"OVERDUE","")</x:f>
      </x:c>
    </x:row>
    <x:row r="33" ht="74" customHeight="1">
      <x:c r="A33" s="29" t="str">
        <x:v>DAT-009</x:v>
      </x:c>
      <x:c r="B33" s="29" t="str">
        <x:v>Data persistence</x:v>
      </x:c>
      <x:c r="C33" s="29" t="str">
        <x:v>Analytics warehouse and lake</x:v>
      </x:c>
      <x:c r="D33" s="29" t="str">
        <x:v>G0</x:v>
      </x:c>
      <x:c r="E33" s="29" t="str">
        <x:v>P0</x:v>
      </x:c>
      <x:c r="F33" s="29" t="str">
        <x:v>Data</x:v>
      </x:c>
      <x:c r="G33" s="39"/>
      <x:c r="H33" s="29" t="str">
        <x:v>PLT-001</x:v>
      </x:c>
      <x:c r="I33" s="39" t="str">
        <x:v>Not started</x:v>
      </x:c>
      <x:c r="J33" s="33" t="n">
        <x:f>IF(AND(I33="Done",N33&lt;&gt;""),1,0)</x:f>
        <x:v>0</x:v>
      </x:c>
      <x:c r="K33" s="29" t="str">
        <x:v>Versioned facts arrive without raw private message content by default; late events reconcile.</x:v>
      </x:c>
      <x:c r="L33" s="29" t="str">
        <x:v>services/core/persistence/; services/messaging/store/ (proposed)</x:v>
      </x:c>
      <x:c r="M33" s="29" t="str">
        <x:v>AT-DAT-009</x:v>
      </x:c>
      <x:c r="N33" s="39"/>
      <x:c r="O33" s="41"/>
      <x:c r="P33" s="43"/>
      <x:c r="Q33" s="43"/>
      <x:c r="R33" s="29" t="str">
        <x:v>S21-S27</x:v>
      </x:c>
      <x:c r="S33" s="39" t="str">
        <x:v>Proposed target paths; no repository implementation inspected. Completion requires linked evidence.</x:v>
      </x:c>
      <x:c r="T33" s="29" t="str">
        <x:f>IF(I33="Done",IF(N33="","MISSING EVIDENCE","Review evidence"),"Pending")</x:f>
        <x:v>Pending</x:v>
      </x:c>
      <x:c r="U33" s="29" t="str">
        <x:f>IF(AND(Q33&lt;&gt;"",Q33&lt;TODAY(),I33&lt;&gt;"Done"),"OVERDUE","")</x:f>
      </x:c>
    </x:row>
    <x:row r="34" ht="74" customHeight="1">
      <x:c r="A34" s="29" t="str">
        <x:v>DAT-010</x:v>
      </x:c>
      <x:c r="B34" s="29" t="str">
        <x:v>Data persistence</x:v>
      </x:c>
      <x:c r="C34" s="29" t="str">
        <x:v>Retention, backup and erasure</x:v>
      </x:c>
      <x:c r="D34" s="29" t="str">
        <x:v>G0</x:v>
      </x:c>
      <x:c r="E34" s="29" t="str">
        <x:v>P0</x:v>
      </x:c>
      <x:c r="F34" s="29" t="str">
        <x:v>Data</x:v>
      </x:c>
      <x:c r="G34" s="39"/>
      <x:c r="H34" s="29" t="str">
        <x:v>PLT-001</x:v>
      </x:c>
      <x:c r="I34" s="39" t="str">
        <x:v>Not started</x:v>
      </x:c>
      <x:c r="J34" s="33" t="n">
        <x:f>IF(AND(I34="Done",N34&lt;&gt;""),1,0)</x:f>
        <x:v>0</x:v>
      </x:c>
      <x:c r="K34" s="29" t="str">
        <x:v>Expired records are denied immediately; backups, derived data and recovery tombstones follow retention policy.</x:v>
      </x:c>
      <x:c r="L34" s="29" t="str">
        <x:v>services/core/persistence/; services/messaging/store/ (proposed)</x:v>
      </x:c>
      <x:c r="M34" s="29" t="str">
        <x:v>AT-DAT-010</x:v>
      </x:c>
      <x:c r="N34" s="39"/>
      <x:c r="O34" s="41"/>
      <x:c r="P34" s="43"/>
      <x:c r="Q34" s="43"/>
      <x:c r="R34" s="29" t="str">
        <x:v>S21-S27</x:v>
      </x:c>
      <x:c r="S34" s="39" t="str">
        <x:v>Proposed target paths; no repository implementation inspected. Completion requires linked evidence.</x:v>
      </x:c>
      <x:c r="T34" s="29" t="str">
        <x:f>IF(I34="Done",IF(N34="","MISSING EVIDENCE","Review evidence"),"Pending")</x:f>
        <x:v>Pending</x:v>
      </x:c>
      <x:c r="U34" s="29" t="str">
        <x:f>IF(AND(Q34&lt;&gt;"",Q34&lt;TODAY(),I34&lt;&gt;"Done"),"OVERDUE","")</x:f>
      </x:c>
    </x:row>
    <x:row r="35" ht="74" customHeight="1">
      <x:c r="A35" s="29" t="str">
        <x:v>EVT-001</x:v>
      </x:c>
      <x:c r="B35" s="29" t="str">
        <x:v>Event and queue backbone</x:v>
      </x:c>
      <x:c r="C35" s="29" t="str">
        <x:v>Cell-local Kafka deployment</x:v>
      </x:c>
      <x:c r="D35" s="29" t="str">
        <x:v>G0</x:v>
      </x:c>
      <x:c r="E35" s="29" t="str">
        <x:v>P0</x:v>
      </x:c>
      <x:c r="F35" s="29" t="str">
        <x:v>Messaging</x:v>
      </x:c>
      <x:c r="G35" s="39"/>
      <x:c r="H35" s="29" t="str">
        <x:v>DAT-001, PLT-004</x:v>
      </x:c>
      <x:c r="I35" s="39" t="str">
        <x:v>Not started</x:v>
      </x:c>
      <x:c r="J35" s="33" t="n">
        <x:f>IF(AND(I35="Done",N35&lt;&gt;""),1,0)</x:f>
        <x:v>0</x:v>
      </x:c>
      <x:c r="K35" s="29" t="str">
        <x:v>Three-AZ replica placement, required ISR and producer settings survive broker/AZ tests.</x:v>
      </x:c>
      <x:c r="L35" s="29" t="str">
        <x:v>services/ingress/; services/messaging/events/ (proposed)</x:v>
      </x:c>
      <x:c r="M35" s="29" t="str">
        <x:v>AT-EVT-001</x:v>
      </x:c>
      <x:c r="N35" s="39"/>
      <x:c r="O35" s="41"/>
      <x:c r="P35" s="43"/>
      <x:c r="Q35" s="43"/>
      <x:c r="R35" s="29" t="str">
        <x:v>S17-S18</x:v>
      </x:c>
      <x:c r="S35" s="39" t="str">
        <x:v>Proposed target paths; no repository implementation inspected. Completion requires linked evidence.</x:v>
      </x:c>
      <x:c r="T35" s="29" t="str">
        <x:f>IF(I35="Done",IF(N35="","MISSING EVIDENCE","Review evidence"),"Pending")</x:f>
        <x:v>Pending</x:v>
      </x:c>
      <x:c r="U35" s="29" t="str">
        <x:f>IF(AND(Q35&lt;&gt;"",Q35&lt;TODAY(),I35&lt;&gt;"Done"),"OVERDUE","")</x:f>
      </x:c>
    </x:row>
    <x:row r="36" ht="74" customHeight="1">
      <x:c r="A36" s="29" t="str">
        <x:v>EVT-002</x:v>
      </x:c>
      <x:c r="B36" s="29" t="str">
        <x:v>Event and queue backbone</x:v>
      </x:c>
      <x:c r="C36" s="29" t="str">
        <x:v>Schema registry and event contracts</x:v>
      </x:c>
      <x:c r="D36" s="29" t="str">
        <x:v>G0</x:v>
      </x:c>
      <x:c r="E36" s="29" t="str">
        <x:v>P0</x:v>
      </x:c>
      <x:c r="F36" s="29" t="str">
        <x:v>Messaging</x:v>
      </x:c>
      <x:c r="G36" s="39"/>
      <x:c r="H36" s="29" t="str">
        <x:v>DAT-001, PLT-004</x:v>
      </x:c>
      <x:c r="I36" s="39" t="str">
        <x:v>Not started</x:v>
      </x:c>
      <x:c r="J36" s="33" t="n">
        <x:f>IF(AND(I36="Done",N36&lt;&gt;""),1,0)</x:f>
        <x:v>0</x:v>
      </x:c>
      <x:c r="K36" s="29" t="str">
        <x:v>Breaking schema edits fail CI; canonical envelope and payload schema versions are validated.</x:v>
      </x:c>
      <x:c r="L36" s="29" t="str">
        <x:v>services/ingress/; services/messaging/events/ (proposed)</x:v>
      </x:c>
      <x:c r="M36" s="29" t="str">
        <x:v>AT-EVT-002</x:v>
      </x:c>
      <x:c r="N36" s="39"/>
      <x:c r="O36" s="41"/>
      <x:c r="P36" s="43"/>
      <x:c r="Q36" s="43"/>
      <x:c r="R36" s="29" t="str">
        <x:v>S17-S18</x:v>
      </x:c>
      <x:c r="S36" s="39" t="str">
        <x:v>Proposed target paths; no repository implementation inspected. Completion requires linked evidence.</x:v>
      </x:c>
      <x:c r="T36" s="29" t="str">
        <x:f>IF(I36="Done",IF(N36="","MISSING EVIDENCE","Review evidence"),"Pending")</x:f>
        <x:v>Pending</x:v>
      </x:c>
      <x:c r="U36" s="29" t="str">
        <x:f>IF(AND(Q36&lt;&gt;"",Q36&lt;TODAY(),I36&lt;&gt;"Done"),"OVERDUE","")</x:f>
      </x:c>
    </x:row>
    <x:row r="37" ht="74" customHeight="1">
      <x:c r="A37" s="29" t="str">
        <x:v>EVT-003</x:v>
      </x:c>
      <x:c r="B37" s="29" t="str">
        <x:v>Event and queue backbone</x:v>
      </x:c>
      <x:c r="C37" s="29" t="str">
        <x:v>Verified provider ingress</x:v>
      </x:c>
      <x:c r="D37" s="29" t="str">
        <x:v>G0</x:v>
      </x:c>
      <x:c r="E37" s="29" t="str">
        <x:v>P0</x:v>
      </x:c>
      <x:c r="F37" s="29" t="str">
        <x:v>Messaging</x:v>
      </x:c>
      <x:c r="G37" s="39"/>
      <x:c r="H37" s="29" t="str">
        <x:v>DAT-001, PLT-004</x:v>
      </x:c>
      <x:c r="I37" s="39" t="str">
        <x:v>Not started</x:v>
      </x:c>
      <x:c r="J37" s="33" t="n">
        <x:f>IF(AND(I37="Done",N37&lt;&gt;""),1,0)</x:f>
        <x:v>0</x:v>
      </x:c>
      <x:c r="K37" s="29" t="str">
        <x:v>All raw payload signatures are checked before parsing; 200 is emitted only after durable acceptance.</x:v>
      </x:c>
      <x:c r="L37" s="29" t="str">
        <x:v>services/ingress/; services/messaging/events/ (proposed)</x:v>
      </x:c>
      <x:c r="M37" s="29" t="str">
        <x:v>AT-EVT-003</x:v>
      </x:c>
      <x:c r="N37" s="39"/>
      <x:c r="O37" s="41"/>
      <x:c r="P37" s="43"/>
      <x:c r="Q37" s="43"/>
      <x:c r="R37" s="29" t="str">
        <x:v>S17-S18</x:v>
      </x:c>
      <x:c r="S37" s="39" t="str">
        <x:v>Proposed target paths; no repository implementation inspected. Completion requires linked evidence.</x:v>
      </x:c>
      <x:c r="T37" s="29" t="str">
        <x:f>IF(I37="Done",IF(N37="","MISSING EVIDENCE","Review evidence"),"Pending")</x:f>
        <x:v>Pending</x:v>
      </x:c>
      <x:c r="U37" s="29" t="str">
        <x:f>IF(AND(Q37&lt;&gt;"",Q37&lt;TODAY(),I37&lt;&gt;"Done"),"OVERDUE","")</x:f>
      </x:c>
    </x:row>
    <x:row r="38" ht="74" customHeight="1">
      <x:c r="A38" s="29" t="str">
        <x:v>EVT-004</x:v>
      </x:c>
      <x:c r="B38" s="29" t="str">
        <x:v>Event and queue backbone</x:v>
      </x:c>
      <x:c r="C38" s="29" t="str">
        <x:v>Multi-entry webhook splitting</x:v>
      </x:c>
      <x:c r="D38" s="29" t="str">
        <x:v>G0</x:v>
      </x:c>
      <x:c r="E38" s="29" t="str">
        <x:v>P0</x:v>
      </x:c>
      <x:c r="F38" s="29" t="str">
        <x:v>Messaging</x:v>
      </x:c>
      <x:c r="G38" s="39"/>
      <x:c r="H38" s="29" t="str">
        <x:v>DAT-001, PLT-004</x:v>
      </x:c>
      <x:c r="I38" s="39" t="str">
        <x:v>Not started</x:v>
      </x:c>
      <x:c r="J38" s="33" t="n">
        <x:f>IF(AND(I38="Done",N38&lt;&gt;""),1,0)</x:f>
        <x:v>0</x:v>
      </x:c>
      <x:c r="K38" s="29" t="str">
        <x:v>Every entry/change/message/status in a batch is routed; partial failure cannot lose sibling events.</x:v>
      </x:c>
      <x:c r="L38" s="29" t="str">
        <x:v>services/ingress/; services/messaging/events/ (proposed)</x:v>
      </x:c>
      <x:c r="M38" s="29" t="str">
        <x:v>AT-EVT-004</x:v>
      </x:c>
      <x:c r="N38" s="39"/>
      <x:c r="O38" s="41"/>
      <x:c r="P38" s="43"/>
      <x:c r="Q38" s="43"/>
      <x:c r="R38" s="29" t="str">
        <x:v>S17-S18</x:v>
      </x:c>
      <x:c r="S38" s="39" t="str">
        <x:v>Proposed target paths; no repository implementation inspected. Completion requires linked evidence.</x:v>
      </x:c>
      <x:c r="T38" s="29" t="str">
        <x:f>IF(I38="Done",IF(N38="","MISSING EVIDENCE","Review evidence"),"Pending")</x:f>
        <x:v>Pending</x:v>
      </x:c>
      <x:c r="U38" s="29" t="str">
        <x:f>IF(AND(Q38&lt;&gt;"",Q38&lt;TODAY(),I38&lt;&gt;"Done"),"OVERDUE","")</x:f>
      </x:c>
    </x:row>
    <x:row r="39" ht="74" customHeight="1">
      <x:c r="A39" s="29" t="str">
        <x:v>EVT-005</x:v>
      </x:c>
      <x:c r="B39" s="29" t="str">
        <x:v>Event and queue backbone</x:v>
      </x:c>
      <x:c r="C39" s="29" t="str">
        <x:v>Normalization and deterministic IDs</x:v>
      </x:c>
      <x:c r="D39" s="29" t="str">
        <x:v>G0</x:v>
      </x:c>
      <x:c r="E39" s="29" t="str">
        <x:v>P0</x:v>
      </x:c>
      <x:c r="F39" s="29" t="str">
        <x:v>Messaging</x:v>
      </x:c>
      <x:c r="G39" s="39"/>
      <x:c r="H39" s="29" t="str">
        <x:v>DAT-001, PLT-004</x:v>
      </x:c>
      <x:c r="I39" s="39" t="str">
        <x:v>Not started</x:v>
      </x:c>
      <x:c r="J39" s="33" t="n">
        <x:f>IF(AND(I39="Done",N39&lt;&gt;""),1,0)</x:f>
        <x:v>0</x:v>
      </x:c>
      <x:c r="K39" s="29" t="str">
        <x:v>Repeated events map to stable dedup keys across reconnects and deployments.</x:v>
      </x:c>
      <x:c r="L39" s="29" t="str">
        <x:v>services/ingress/; services/messaging/events/ (proposed)</x:v>
      </x:c>
      <x:c r="M39" s="29" t="str">
        <x:v>AT-EVT-005</x:v>
      </x:c>
      <x:c r="N39" s="39"/>
      <x:c r="O39" s="41"/>
      <x:c r="P39" s="43"/>
      <x:c r="Q39" s="43"/>
      <x:c r="R39" s="29" t="str">
        <x:v>S17-S18</x:v>
      </x:c>
      <x:c r="S39" s="39" t="str">
        <x:v>Proposed target paths; no repository implementation inspected. Completion requires linked evidence.</x:v>
      </x:c>
      <x:c r="T39" s="29" t="str">
        <x:f>IF(I39="Done",IF(N39="","MISSING EVIDENCE","Review evidence"),"Pending")</x:f>
        <x:v>Pending</x:v>
      </x:c>
      <x:c r="U39" s="29" t="str">
        <x:f>IF(AND(Q39&lt;&gt;"",Q39&lt;TODAY(),I39&lt;&gt;"Done"),"OVERDUE","")</x:f>
      </x:c>
    </x:row>
    <x:row r="40" ht="74" customHeight="1">
      <x:c r="A40" s="29" t="str">
        <x:v>EVT-006</x:v>
      </x:c>
      <x:c r="B40" s="29" t="str">
        <x:v>Event and queue backbone</x:v>
      </x:c>
      <x:c r="C40" s="29" t="str">
        <x:v>Idempotent projections and offsets</x:v>
      </x:c>
      <x:c r="D40" s="29" t="str">
        <x:v>G0</x:v>
      </x:c>
      <x:c r="E40" s="29" t="str">
        <x:v>P0</x:v>
      </x:c>
      <x:c r="F40" s="29" t="str">
        <x:v>Messaging</x:v>
      </x:c>
      <x:c r="G40" s="39"/>
      <x:c r="H40" s="29" t="str">
        <x:v>DAT-001, PLT-004</x:v>
      </x:c>
      <x:c r="I40" s="39" t="str">
        <x:v>Not started</x:v>
      </x:c>
      <x:c r="J40" s="33" t="n">
        <x:f>IF(AND(I40="Done",N40&lt;&gt;""),1,0)</x:f>
        <x:v>0</x:v>
      </x:c>
      <x:c r="K40" s="29" t="str">
        <x:v>A crash after database write and before offset commit produces no duplicate business state.</x:v>
      </x:c>
      <x:c r="L40" s="29" t="str">
        <x:v>services/ingress/; services/messaging/events/ (proposed)</x:v>
      </x:c>
      <x:c r="M40" s="29" t="str">
        <x:v>AT-EVT-006</x:v>
      </x:c>
      <x:c r="N40" s="39"/>
      <x:c r="O40" s="41"/>
      <x:c r="P40" s="43"/>
      <x:c r="Q40" s="43"/>
      <x:c r="R40" s="29" t="str">
        <x:v>S17-S18</x:v>
      </x:c>
      <x:c r="S40" s="39" t="str">
        <x:v>Proposed target paths; no repository implementation inspected. Completion requires linked evidence.</x:v>
      </x:c>
      <x:c r="T40" s="29" t="str">
        <x:f>IF(I40="Done",IF(N40="","MISSING EVIDENCE","Review evidence"),"Pending")</x:f>
        <x:v>Pending</x:v>
      </x:c>
      <x:c r="U40" s="29" t="str">
        <x:f>IF(AND(Q40&lt;&gt;"",Q40&lt;TODAY(),I40&lt;&gt;"Done"),"OVERDUE","")</x:f>
      </x:c>
    </x:row>
    <x:row r="41" ht="74" customHeight="1">
      <x:c r="A41" s="29" t="str">
        <x:v>EVT-007</x:v>
      </x:c>
      <x:c r="B41" s="29" t="str">
        <x:v>Event and queue backbone</x:v>
      </x:c>
      <x:c r="C41" s="29" t="str">
        <x:v>Priority lanes and fair scheduling</x:v>
      </x:c>
      <x:c r="D41" s="29" t="str">
        <x:v>G0</x:v>
      </x:c>
      <x:c r="E41" s="29" t="str">
        <x:v>P0</x:v>
      </x:c>
      <x:c r="F41" s="29" t="str">
        <x:v>Messaging</x:v>
      </x:c>
      <x:c r="G41" s="39"/>
      <x:c r="H41" s="29" t="str">
        <x:v>DAT-001, PLT-004</x:v>
      </x:c>
      <x:c r="I41" s="39" t="str">
        <x:v>Not started</x:v>
      </x:c>
      <x:c r="J41" s="33" t="n">
        <x:f>IF(AND(I41="Done",N41&lt;&gt;""),1,0)</x:f>
        <x:v>0</x:v>
      </x:c>
      <x:c r="K41" s="29" t="str">
        <x:v>Marketing backlog cannot starve inbound support, consent revocations or critical status processing.</x:v>
      </x:c>
      <x:c r="L41" s="29" t="str">
        <x:v>services/ingress/; services/messaging/events/ (proposed)</x:v>
      </x:c>
      <x:c r="M41" s="29" t="str">
        <x:v>AT-EVT-007</x:v>
      </x:c>
      <x:c r="N41" s="39"/>
      <x:c r="O41" s="41"/>
      <x:c r="P41" s="43"/>
      <x:c r="Q41" s="43"/>
      <x:c r="R41" s="29" t="str">
        <x:v>S17-S18</x:v>
      </x:c>
      <x:c r="S41" s="39" t="str">
        <x:v>Proposed target paths; no repository implementation inspected. Completion requires linked evidence.</x:v>
      </x:c>
      <x:c r="T41" s="29" t="str">
        <x:f>IF(I41="Done",IF(N41="","MISSING EVIDENCE","Review evidence"),"Pending")</x:f>
        <x:v>Pending</x:v>
      </x:c>
      <x:c r="U41" s="29" t="str">
        <x:f>IF(AND(Q41&lt;&gt;"",Q41&lt;TODAY(),I41&lt;&gt;"Done"),"OVERDUE","")</x:f>
      </x:c>
    </x:row>
    <x:row r="42" ht="74" customHeight="1">
      <x:c r="A42" s="29" t="str">
        <x:v>EVT-008</x:v>
      </x:c>
      <x:c r="B42" s="29" t="str">
        <x:v>Event and queue backbone</x:v>
      </x:c>
      <x:c r="C42" s="29" t="str">
        <x:v>Retry and dead-letter handling</x:v>
      </x:c>
      <x:c r="D42" s="29" t="str">
        <x:v>G0</x:v>
      </x:c>
      <x:c r="E42" s="29" t="str">
        <x:v>P0</x:v>
      </x:c>
      <x:c r="F42" s="29" t="str">
        <x:v>Messaging</x:v>
      </x:c>
      <x:c r="G42" s="39"/>
      <x:c r="H42" s="29" t="str">
        <x:v>DAT-001, PLT-004</x:v>
      </x:c>
      <x:c r="I42" s="39" t="str">
        <x:v>Not started</x:v>
      </x:c>
      <x:c r="J42" s="33" t="n">
        <x:f>IF(AND(I42="Done",N42&lt;&gt;""),1,0)</x:f>
        <x:v>0</x:v>
      </x:c>
      <x:c r="K42" s="29" t="str">
        <x:v>Retryable, terminal and ambiguous outcomes follow distinct tested routes with bounded budgets.</x:v>
      </x:c>
      <x:c r="L42" s="29" t="str">
        <x:v>services/ingress/; services/messaging/events/ (proposed)</x:v>
      </x:c>
      <x:c r="M42" s="29" t="str">
        <x:v>AT-EVT-008</x:v>
      </x:c>
      <x:c r="N42" s="39"/>
      <x:c r="O42" s="41"/>
      <x:c r="P42" s="43"/>
      <x:c r="Q42" s="43"/>
      <x:c r="R42" s="29" t="str">
        <x:v>S17-S18</x:v>
      </x:c>
      <x:c r="S42" s="39" t="str">
        <x:v>Proposed target paths; no repository implementation inspected. Completion requires linked evidence.</x:v>
      </x:c>
      <x:c r="T42" s="29" t="str">
        <x:f>IF(I42="Done",IF(N42="","MISSING EVIDENCE","Review evidence"),"Pending")</x:f>
        <x:v>Pending</x:v>
      </x:c>
      <x:c r="U42" s="29" t="str">
        <x:f>IF(AND(Q42&lt;&gt;"",Q42&lt;TODAY(),I42&lt;&gt;"Done"),"OVERDUE","")</x:f>
      </x:c>
    </x:row>
    <x:row r="43" ht="74" customHeight="1">
      <x:c r="A43" s="29" t="str">
        <x:v>EVT-009</x:v>
      </x:c>
      <x:c r="B43" s="29" t="str">
        <x:v>Event and queue backbone</x:v>
      </x:c>
      <x:c r="C43" s="29" t="str">
        <x:v>Outbox publishers and relay</x:v>
      </x:c>
      <x:c r="D43" s="29" t="str">
        <x:v>G0</x:v>
      </x:c>
      <x:c r="E43" s="29" t="str">
        <x:v>P0</x:v>
      </x:c>
      <x:c r="F43" s="29" t="str">
        <x:v>Messaging</x:v>
      </x:c>
      <x:c r="G43" s="39"/>
      <x:c r="H43" s="29" t="str">
        <x:v>DAT-001, PLT-004</x:v>
      </x:c>
      <x:c r="I43" s="39" t="str">
        <x:v>Not started</x:v>
      </x:c>
      <x:c r="J43" s="33" t="n">
        <x:f>IF(AND(I43="Done",N43&lt;&gt;""),1,0)</x:f>
        <x:v>0</x:v>
      </x:c>
      <x:c r="K43" s="29" t="str">
        <x:v>Publisher crash cannot strand accepted commands; duplicate emissions retain the same command ID.</x:v>
      </x:c>
      <x:c r="L43" s="29" t="str">
        <x:v>services/ingress/; services/messaging/events/ (proposed)</x:v>
      </x:c>
      <x:c r="M43" s="29" t="str">
        <x:v>AT-EVT-009</x:v>
      </x:c>
      <x:c r="N43" s="39"/>
      <x:c r="O43" s="41"/>
      <x:c r="P43" s="43"/>
      <x:c r="Q43" s="43"/>
      <x:c r="R43" s="29" t="str">
        <x:v>S17-S18</x:v>
      </x:c>
      <x:c r="S43" s="39" t="str">
        <x:v>Proposed target paths; no repository implementation inspected. Completion requires linked evidence.</x:v>
      </x:c>
      <x:c r="T43" s="29" t="str">
        <x:f>IF(I43="Done",IF(N43="","MISSING EVIDENCE","Review evidence"),"Pending")</x:f>
        <x:v>Pending</x:v>
      </x:c>
      <x:c r="U43" s="29" t="str">
        <x:f>IF(AND(Q43&lt;&gt;"",Q43&lt;TODAY(),I43&lt;&gt;"Done"),"OVERDUE","")</x:f>
      </x:c>
    </x:row>
    <x:row r="44" ht="74" customHeight="1">
      <x:c r="A44" s="29" t="str">
        <x:v>EVT-010</x:v>
      </x:c>
      <x:c r="B44" s="29" t="str">
        <x:v>Event and queue backbone</x:v>
      </x:c>
      <x:c r="C44" s="29" t="str">
        <x:v>Replay control and safety</x:v>
      </x:c>
      <x:c r="D44" s="29" t="str">
        <x:v>G0</x:v>
      </x:c>
      <x:c r="E44" s="29" t="str">
        <x:v>P0</x:v>
      </x:c>
      <x:c r="F44" s="29" t="str">
        <x:v>Messaging</x:v>
      </x:c>
      <x:c r="G44" s="39"/>
      <x:c r="H44" s="29" t="str">
        <x:v>DAT-001, PLT-004</x:v>
      </x:c>
      <x:c r="I44" s="39" t="str">
        <x:v>Not started</x:v>
      </x:c>
      <x:c r="J44" s="33" t="n">
        <x:f>IF(AND(I44="Done",N44&lt;&gt;""),1,0)</x:f>
        <x:v>0</x:v>
      </x:c>
      <x:c r="K44" s="29" t="str">
        <x:v>Historical replay rebuilds projections but cannot re-execute externally visible actions by default.</x:v>
      </x:c>
      <x:c r="L44" s="29" t="str">
        <x:v>services/ingress/; services/messaging/events/ (proposed)</x:v>
      </x:c>
      <x:c r="M44" s="29" t="str">
        <x:v>AT-EVT-010</x:v>
      </x:c>
      <x:c r="N44" s="39"/>
      <x:c r="O44" s="41"/>
      <x:c r="P44" s="43"/>
      <x:c r="Q44" s="43"/>
      <x:c r="R44" s="29" t="str">
        <x:v>S17-S18</x:v>
      </x:c>
      <x:c r="S44" s="39" t="str">
        <x:v>Proposed target paths; no repository implementation inspected. Completion requires linked evidence.</x:v>
      </x:c>
      <x:c r="T44" s="29" t="str">
        <x:f>IF(I44="Done",IF(N44="","MISSING EVIDENCE","Review evidence"),"Pending")</x:f>
        <x:v>Pending</x:v>
      </x:c>
      <x:c r="U44" s="29" t="str">
        <x:f>IF(AND(Q44&lt;&gt;"",Q44&lt;TODAY(),I44&lt;&gt;"Done"),"OVERDUE","")</x:f>
      </x:c>
    </x:row>
    <x:row r="45" ht="74" customHeight="1">
      <x:c r="A45" s="29" t="str">
        <x:v>EVT-011</x:v>
      </x:c>
      <x:c r="B45" s="29" t="str">
        <x:v>Event and queue backbone</x:v>
      </x:c>
      <x:c r="C45" s="29" t="str">
        <x:v>Partition scaling and routing versions</x:v>
      </x:c>
      <x:c r="D45" s="29" t="str">
        <x:v>G0</x:v>
      </x:c>
      <x:c r="E45" s="29" t="str">
        <x:v>P0</x:v>
      </x:c>
      <x:c r="F45" s="29" t="str">
        <x:v>Messaging</x:v>
      </x:c>
      <x:c r="G45" s="39"/>
      <x:c r="H45" s="29" t="str">
        <x:v>DAT-001, PLT-004</x:v>
      </x:c>
      <x:c r="I45" s="39" t="str">
        <x:v>Not started</x:v>
      </x:c>
      <x:c r="J45" s="33" t="n">
        <x:f>IF(AND(I45="Done",N45&lt;&gt;""),1,0)</x:f>
        <x:v>0</x:v>
      </x:c>
      <x:c r="K45" s="29" t="str">
        <x:v>Partition-count change uses drain/cutover protocol and does not silently break ordering.</x:v>
      </x:c>
      <x:c r="L45" s="29" t="str">
        <x:v>services/ingress/; services/messaging/events/ (proposed)</x:v>
      </x:c>
      <x:c r="M45" s="29" t="str">
        <x:v>AT-EVT-011</x:v>
      </x:c>
      <x:c r="N45" s="39"/>
      <x:c r="O45" s="41"/>
      <x:c r="P45" s="43"/>
      <x:c r="Q45" s="43"/>
      <x:c r="R45" s="29" t="str">
        <x:v>S17-S18</x:v>
      </x:c>
      <x:c r="S45" s="39" t="str">
        <x:v>Proposed target paths; no repository implementation inspected. Completion requires linked evidence.</x:v>
      </x:c>
      <x:c r="T45" s="29" t="str">
        <x:f>IF(I45="Done",IF(N45="","MISSING EVIDENCE","Review evidence"),"Pending")</x:f>
        <x:v>Pending</x:v>
      </x:c>
      <x:c r="U45" s="29" t="str">
        <x:f>IF(AND(Q45&lt;&gt;"",Q45&lt;TODAY(),I45&lt;&gt;"Done"),"OVERDUE","")</x:f>
      </x:c>
    </x:row>
    <x:row r="46" ht="74" customHeight="1">
      <x:c r="A46" s="29" t="str">
        <x:v>EVT-012</x:v>
      </x:c>
      <x:c r="B46" s="29" t="str">
        <x:v>Event and queue backbone</x:v>
      </x:c>
      <x:c r="C46" s="29" t="str">
        <x:v>Quota-aware ingress protection</x:v>
      </x:c>
      <x:c r="D46" s="29" t="str">
        <x:v>G0</x:v>
      </x:c>
      <x:c r="E46" s="29" t="str">
        <x:v>P0</x:v>
      </x:c>
      <x:c r="F46" s="29" t="str">
        <x:v>Messaging</x:v>
      </x:c>
      <x:c r="G46" s="39"/>
      <x:c r="H46" s="29" t="str">
        <x:v>DAT-001, PLT-004</x:v>
      </x:c>
      <x:c r="I46" s="39" t="str">
        <x:v>Not started</x:v>
      </x:c>
      <x:c r="J46" s="33" t="n">
        <x:f>IF(AND(I46="Done",N46&lt;&gt;""),1,0)</x:f>
        <x:v>0</x:v>
      </x:c>
      <x:c r="K46" s="29" t="str">
        <x:v>Authenticated overload receives documented retry responses; durable accepted data is never silently shed.</x:v>
      </x:c>
      <x:c r="L46" s="29" t="str">
        <x:v>services/ingress/; services/messaging/events/ (proposed)</x:v>
      </x:c>
      <x:c r="M46" s="29" t="str">
        <x:v>AT-EVT-012</x:v>
      </x:c>
      <x:c r="N46" s="39"/>
      <x:c r="O46" s="41"/>
      <x:c r="P46" s="43"/>
      <x:c r="Q46" s="43"/>
      <x:c r="R46" s="29" t="str">
        <x:v>S17-S18</x:v>
      </x:c>
      <x:c r="S46" s="39" t="str">
        <x:v>Proposed target paths; no repository implementation inspected. Completion requires linked evidence.</x:v>
      </x:c>
      <x:c r="T46" s="29" t="str">
        <x:f>IF(I46="Done",IF(N46="","MISSING EVIDENCE","Review evidence"),"Pending")</x:f>
        <x:v>Pending</x:v>
      </x:c>
      <x:c r="U46" s="29" t="str">
        <x:f>IF(AND(Q46&lt;&gt;"",Q46&lt;TODAY(),I46&lt;&gt;"Done"),"OVERDUE","")</x:f>
      </x:c>
    </x:row>
    <x:row r="47" ht="74" customHeight="1">
      <x:c r="A47" s="29" t="str">
        <x:v>WHA-001</x:v>
      </x:c>
      <x:c r="B47" s="29" t="str">
        <x:v>WhatsApp and Meta onboarding</x:v>
      </x:c>
      <x:c r="C47" s="29" t="str">
        <x:v>Business verification and provider application</x:v>
      </x:c>
      <x:c r="D47" s="29" t="str">
        <x:v>G1</x:v>
      </x:c>
      <x:c r="E47" s="29" t="str">
        <x:v>P0</x:v>
      </x:c>
      <x:c r="F47" s="29" t="str">
        <x:v>Channels</x:v>
      </x:c>
      <x:c r="G47" s="39"/>
      <x:c r="H47" s="29" t="str">
        <x:v>PLT-008, EVT-003</x:v>
      </x:c>
      <x:c r="I47" s="39" t="str">
        <x:v>Not started</x:v>
      </x:c>
      <x:c r="J47" s="33" t="n">
        <x:f>IF(AND(I47="Done",N47&lt;&gt;""),1,0)</x:f>
        <x:v>0</x:v>
      </x:c>
      <x:c r="K47" s="29" t="str">
        <x:v>Legal business, ownership and provider verification evidence is recorded; no approval is assumed.</x:v>
      </x:c>
      <x:c r="L47" s="29" t="str">
        <x:v>packages/channel-sdk/whatsapp/; services/ingress/ (proposed)</x:v>
      </x:c>
      <x:c r="M47" s="29" t="str">
        <x:v>AT-WHA-001</x:v>
      </x:c>
      <x:c r="N47" s="39"/>
      <x:c r="O47" s="41"/>
      <x:c r="P47" s="43"/>
      <x:c r="Q47" s="43"/>
      <x:c r="R47" s="29" t="str">
        <x:v>S02-S11</x:v>
      </x:c>
      <x:c r="S47" s="39" t="str">
        <x:v>Proposed target paths; no repository implementation inspected. Completion requires linked evidence.</x:v>
      </x:c>
      <x:c r="T47" s="29" t="str">
        <x:f>IF(I47="Done",IF(N47="","MISSING EVIDENCE","Review evidence"),"Pending")</x:f>
        <x:v>Pending</x:v>
      </x:c>
      <x:c r="U47" s="29" t="str">
        <x:f>IF(AND(Q47&lt;&gt;"",Q47&lt;TODAY(),I47&lt;&gt;"Done"),"OVERDUE","")</x:f>
      </x:c>
    </x:row>
    <x:row r="48" ht="74" customHeight="1">
      <x:c r="A48" s="29" t="str">
        <x:v>WHA-002</x:v>
      </x:c>
      <x:c r="B48" s="29" t="str">
        <x:v>WhatsApp and Meta onboarding</x:v>
      </x:c>
      <x:c r="C48" s="29" t="str">
        <x:v>Meta app settings and review package</x:v>
      </x:c>
      <x:c r="D48" s="29" t="str">
        <x:v>G1</x:v>
      </x:c>
      <x:c r="E48" s="29" t="str">
        <x:v>P0</x:v>
      </x:c>
      <x:c r="F48" s="29" t="str">
        <x:v>Channels</x:v>
      </x:c>
      <x:c r="G48" s="39"/>
      <x:c r="H48" s="29" t="str">
        <x:v>PLT-008, EVT-003</x:v>
      </x:c>
      <x:c r="I48" s="39" t="str">
        <x:v>Not started</x:v>
      </x:c>
      <x:c r="J48" s="33" t="n">
        <x:f>IF(AND(I48="Done",N48&lt;&gt;""),1,0)</x:f>
        <x:v>0</x:v>
      </x:c>
      <x:c r="K48" s="29" t="str">
        <x:v>Required policy pages, callback URLs, reviewer access and permission demonstrations are available.</x:v>
      </x:c>
      <x:c r="L48" s="29" t="str">
        <x:v>packages/channel-sdk/whatsapp/; services/ingress/ (proposed)</x:v>
      </x:c>
      <x:c r="M48" s="29" t="str">
        <x:v>AT-WHA-002</x:v>
      </x:c>
      <x:c r="N48" s="39"/>
      <x:c r="O48" s="41"/>
      <x:c r="P48" s="43"/>
      <x:c r="Q48" s="43"/>
      <x:c r="R48" s="29" t="str">
        <x:v>S02-S11</x:v>
      </x:c>
      <x:c r="S48" s="39" t="str">
        <x:v>Proposed target paths; no repository implementation inspected. Completion requires linked evidence.</x:v>
      </x:c>
      <x:c r="T48" s="29" t="str">
        <x:f>IF(I48="Done",IF(N48="","MISSING EVIDENCE","Review evidence"),"Pending")</x:f>
        <x:v>Pending</x:v>
      </x:c>
      <x:c r="U48" s="29" t="str">
        <x:f>IF(AND(Q48&lt;&gt;"",Q48&lt;TODAY(),I48&lt;&gt;"Done"),"OVERDUE","")</x:f>
      </x:c>
    </x:row>
    <x:row r="49" ht="74" customHeight="1">
      <x:c r="A49" s="29" t="str">
        <x:v>WHA-003</x:v>
      </x:c>
      <x:c r="B49" s="29" t="str">
        <x:v>WhatsApp and Meta onboarding</x:v>
      </x:c>
      <x:c r="C49" s="29" t="str">
        <x:v>Embedded Signup wizard</x:v>
      </x:c>
      <x:c r="D49" s="29" t="str">
        <x:v>G1</x:v>
      </x:c>
      <x:c r="E49" s="29" t="str">
        <x:v>P0</x:v>
      </x:c>
      <x:c r="F49" s="29" t="str">
        <x:v>Channels</x:v>
      </x:c>
      <x:c r="G49" s="39"/>
      <x:c r="H49" s="29" t="str">
        <x:v>PLT-008, EVT-003</x:v>
      </x:c>
      <x:c r="I49" s="39" t="str">
        <x:v>Not started</x:v>
      </x:c>
      <x:c r="J49" s="33" t="n">
        <x:f>IF(AND(I49="Done",N49&lt;&gt;""),1,0)</x:f>
        <x:v>0</x:v>
      </x:c>
      <x:c r="K49" s="29" t="str">
        <x:v>State-bound signup returns asset IDs; backend exchanges code and verifies tenant/asset ownership.</x:v>
      </x:c>
      <x:c r="L49" s="29" t="str">
        <x:v>packages/channel-sdk/whatsapp/; services/ingress/ (proposed)</x:v>
      </x:c>
      <x:c r="M49" s="29" t="str">
        <x:v>AT-WHA-003</x:v>
      </x:c>
      <x:c r="N49" s="39"/>
      <x:c r="O49" s="41"/>
      <x:c r="P49" s="43"/>
      <x:c r="Q49" s="43"/>
      <x:c r="R49" s="29" t="str">
        <x:v>S02-S11</x:v>
      </x:c>
      <x:c r="S49" s="39" t="str">
        <x:v>Proposed target paths; no repository implementation inspected. Completion requires linked evidence.</x:v>
      </x:c>
      <x:c r="T49" s="29" t="str">
        <x:f>IF(I49="Done",IF(N49="","MISSING EVIDENCE","Review evidence"),"Pending")</x:f>
        <x:v>Pending</x:v>
      </x:c>
      <x:c r="U49" s="29" t="str">
        <x:f>IF(AND(Q49&lt;&gt;"",Q49&lt;TODAY(),I49&lt;&gt;"Done"),"OVERDUE","")</x:f>
      </x:c>
    </x:row>
    <x:row r="50" ht="74" customHeight="1">
      <x:c r="A50" s="29" t="str">
        <x:v>WHA-004</x:v>
      </x:c>
      <x:c r="B50" s="29" t="str">
        <x:v>WhatsApp and Meta onboarding</x:v>
      </x:c>
      <x:c r="C50" s="29" t="str">
        <x:v>Credential lifecycle and subscriptions</x:v>
      </x:c>
      <x:c r="D50" s="29" t="str">
        <x:v>G1</x:v>
      </x:c>
      <x:c r="E50" s="29" t="str">
        <x:v>P0</x:v>
      </x:c>
      <x:c r="F50" s="29" t="str">
        <x:v>Channels</x:v>
      </x:c>
      <x:c r="G50" s="39"/>
      <x:c r="H50" s="29" t="str">
        <x:v>PLT-008, EVT-003</x:v>
      </x:c>
      <x:c r="I50" s="39" t="str">
        <x:v>Not started</x:v>
      </x:c>
      <x:c r="J50" s="33" t="n">
        <x:f>IF(AND(I50="Done",N50&lt;&gt;""),1,0)</x:f>
        <x:v>0</x:v>
      </x:c>
      <x:c r="K50" s="29" t="str">
        <x:v>WABA app subscription, token checks, reauthorization and revocation are idempotent and audited.</x:v>
      </x:c>
      <x:c r="L50" s="29" t="str">
        <x:v>packages/channel-sdk/whatsapp/; services/ingress/ (proposed)</x:v>
      </x:c>
      <x:c r="M50" s="29" t="str">
        <x:v>AT-WHA-004</x:v>
      </x:c>
      <x:c r="N50" s="39"/>
      <x:c r="O50" s="41"/>
      <x:c r="P50" s="43"/>
      <x:c r="Q50" s="43"/>
      <x:c r="R50" s="29" t="str">
        <x:v>S02-S11</x:v>
      </x:c>
      <x:c r="S50" s="39" t="str">
        <x:v>Proposed target paths; no repository implementation inspected. Completion requires linked evidence.</x:v>
      </x:c>
      <x:c r="T50" s="29" t="str">
        <x:f>IF(I50="Done",IF(N50="","MISSING EVIDENCE","Review evidence"),"Pending")</x:f>
        <x:v>Pending</x:v>
      </x:c>
      <x:c r="U50" s="29" t="str">
        <x:f>IF(AND(Q50&lt;&gt;"",Q50&lt;TODAY(),I50&lt;&gt;"Done"),"OVERDUE","")</x:f>
      </x:c>
    </x:row>
    <x:row r="51" ht="74" customHeight="1">
      <x:c r="A51" s="29" t="str">
        <x:v>WHA-005</x:v>
      </x:c>
      <x:c r="B51" s="29" t="str">
        <x:v>WhatsApp and Meta onboarding</x:v>
      </x:c>
      <x:c r="C51" s="29" t="str">
        <x:v>Phone registration and migration</x:v>
      </x:c>
      <x:c r="D51" s="29" t="str">
        <x:v>G1</x:v>
      </x:c>
      <x:c r="E51" s="29" t="str">
        <x:v>P0</x:v>
      </x:c>
      <x:c r="F51" s="29" t="str">
        <x:v>Channels</x:v>
      </x:c>
      <x:c r="G51" s="39"/>
      <x:c r="H51" s="29" t="str">
        <x:v>PLT-008, EVT-003</x:v>
      </x:c>
      <x:c r="I51" s="39" t="str">
        <x:v>Not started</x:v>
      </x:c>
      <x:c r="J51" s="33" t="n">
        <x:f>IF(AND(I51="Done",N51&lt;&gt;""),1,0)</x:f>
        <x:v>0</x:v>
      </x:c>
      <x:c r="K51" s="29" t="str">
        <x:v>New/platform/coexistence paths are distinguished; number readiness is independently verified.</x:v>
      </x:c>
      <x:c r="L51" s="29" t="str">
        <x:v>packages/channel-sdk/whatsapp/; services/ingress/ (proposed)</x:v>
      </x:c>
      <x:c r="M51" s="29" t="str">
        <x:v>AT-WHA-005</x:v>
      </x:c>
      <x:c r="N51" s="39"/>
      <x:c r="O51" s="41"/>
      <x:c r="P51" s="43"/>
      <x:c r="Q51" s="43"/>
      <x:c r="R51" s="29" t="str">
        <x:v>S02-S11</x:v>
      </x:c>
      <x:c r="S51" s="39" t="str">
        <x:v>Proposed target paths; no repository implementation inspected. Completion requires linked evidence.</x:v>
      </x:c>
      <x:c r="T51" s="29" t="str">
        <x:f>IF(I51="Done",IF(N51="","MISSING EVIDENCE","Review evidence"),"Pending")</x:f>
        <x:v>Pending</x:v>
      </x:c>
      <x:c r="U51" s="29" t="str">
        <x:f>IF(AND(Q51&lt;&gt;"",Q51&lt;TODAY(),I51&lt;&gt;"Done"),"OVERDUE","")</x:f>
      </x:c>
    </x:row>
    <x:row r="52" ht="74" customHeight="1">
      <x:c r="A52" s="29" t="str">
        <x:v>WHA-006</x:v>
      </x:c>
      <x:c r="B52" s="29" t="str">
        <x:v>WhatsApp and Meta onboarding</x:v>
      </x:c>
      <x:c r="C52" s="29" t="str">
        <x:v>Business profile and number health</x:v>
      </x:c>
      <x:c r="D52" s="29" t="str">
        <x:v>G1</x:v>
      </x:c>
      <x:c r="E52" s="29" t="str">
        <x:v>P0</x:v>
      </x:c>
      <x:c r="F52" s="29" t="str">
        <x:v>Channels</x:v>
      </x:c>
      <x:c r="G52" s="39"/>
      <x:c r="H52" s="29" t="str">
        <x:v>PLT-008, EVT-003</x:v>
      </x:c>
      <x:c r="I52" s="39" t="str">
        <x:v>Not started</x:v>
      </x:c>
      <x:c r="J52" s="33" t="n">
        <x:f>IF(AND(I52="Done",N52&lt;&gt;""),1,0)</x:f>
        <x:v>0</x:v>
      </x:c>
      <x:c r="K52" s="29" t="str">
        <x:v>Permitted profile fields, quality, restrictions and missing setup steps are shown accurately.</x:v>
      </x:c>
      <x:c r="L52" s="29" t="str">
        <x:v>packages/channel-sdk/whatsapp/; services/ingress/ (proposed)</x:v>
      </x:c>
      <x:c r="M52" s="29" t="str">
        <x:v>AT-WHA-006</x:v>
      </x:c>
      <x:c r="N52" s="39"/>
      <x:c r="O52" s="41"/>
      <x:c r="P52" s="43"/>
      <x:c r="Q52" s="43"/>
      <x:c r="R52" s="29" t="str">
        <x:v>S02-S11</x:v>
      </x:c>
      <x:c r="S52" s="39" t="str">
        <x:v>Proposed target paths; no repository implementation inspected. Completion requires linked evidence.</x:v>
      </x:c>
      <x:c r="T52" s="29" t="str">
        <x:f>IF(I52="Done",IF(N52="","MISSING EVIDENCE","Review evidence"),"Pending")</x:f>
        <x:v>Pending</x:v>
      </x:c>
      <x:c r="U52" s="29" t="str">
        <x:f>IF(AND(Q52&lt;&gt;"",Q52&lt;TODAY(),I52&lt;&gt;"Done"),"OVERDUE","")</x:f>
      </x:c>
    </x:row>
    <x:row r="53" ht="74" customHeight="1">
      <x:c r="A53" s="29" t="str">
        <x:v>WHA-007</x:v>
      </x:c>
      <x:c r="B53" s="29" t="str">
        <x:v>WhatsApp and Meta onboarding</x:v>
      </x:c>
      <x:c r="C53" s="29" t="str">
        <x:v>Template lifecycle and categories</x:v>
      </x:c>
      <x:c r="D53" s="29" t="str">
        <x:v>G1</x:v>
      </x:c>
      <x:c r="E53" s="29" t="str">
        <x:v>P0</x:v>
      </x:c>
      <x:c r="F53" s="29" t="str">
        <x:v>Channels</x:v>
      </x:c>
      <x:c r="G53" s="39"/>
      <x:c r="H53" s="29" t="str">
        <x:v>PLT-008, EVT-003</x:v>
      </x:c>
      <x:c r="I53" s="39" t="str">
        <x:v>Not started</x:v>
      </x:c>
      <x:c r="J53" s="33" t="n">
        <x:f>IF(AND(I53="Done",N53&lt;&gt;""),1,0)</x:f>
        <x:v>0</x:v>
      </x:c>
      <x:c r="K53" s="29" t="str">
        <x:v>Create/validate/submit/sync/pause/reject paths are tested; workflow references are versioned.</x:v>
      </x:c>
      <x:c r="L53" s="29" t="str">
        <x:v>packages/channel-sdk/whatsapp/; services/ingress/ (proposed)</x:v>
      </x:c>
      <x:c r="M53" s="29" t="str">
        <x:v>AT-WHA-007</x:v>
      </x:c>
      <x:c r="N53" s="39"/>
      <x:c r="O53" s="41"/>
      <x:c r="P53" s="43"/>
      <x:c r="Q53" s="43"/>
      <x:c r="R53" s="29" t="str">
        <x:v>S02-S11</x:v>
      </x:c>
      <x:c r="S53" s="39" t="str">
        <x:v>Proposed target paths; no repository implementation inspected. Completion requires linked evidence.</x:v>
      </x:c>
      <x:c r="T53" s="29" t="str">
        <x:f>IF(I53="Done",IF(N53="","MISSING EVIDENCE","Review evidence"),"Pending")</x:f>
        <x:v>Pending</x:v>
      </x:c>
      <x:c r="U53" s="29" t="str">
        <x:f>IF(AND(Q53&lt;&gt;"",Q53&lt;TODAY(),I53&lt;&gt;"Done"),"OVERDUE","")</x:f>
      </x:c>
    </x:row>
    <x:row r="54" ht="74" customHeight="1">
      <x:c r="A54" s="29" t="str">
        <x:v>WHA-008</x:v>
      </x:c>
      <x:c r="B54" s="29" t="str">
        <x:v>WhatsApp and Meta onboarding</x:v>
      </x:c>
      <x:c r="C54" s="29" t="str">
        <x:v>Message policy and service window</x:v>
      </x:c>
      <x:c r="D54" s="29" t="str">
        <x:v>G1</x:v>
      </x:c>
      <x:c r="E54" s="29" t="str">
        <x:v>P0</x:v>
      </x:c>
      <x:c r="F54" s="29" t="str">
        <x:v>Channels</x:v>
      </x:c>
      <x:c r="G54" s="39"/>
      <x:c r="H54" s="29" t="str">
        <x:v>PLT-008, EVT-003</x:v>
      </x:c>
      <x:c r="I54" s="39" t="str">
        <x:v>Not started</x:v>
      </x:c>
      <x:c r="J54" s="33" t="n">
        <x:f>IF(AND(I54="Done",N54&lt;&gt;""),1,0)</x:f>
        <x:v>0</x:v>
      </x:c>
      <x:c r="K54" s="29" t="str">
        <x:v>Consent, current window and approved-template gates are evaluated again at send time.</x:v>
      </x:c>
      <x:c r="L54" s="29" t="str">
        <x:v>packages/channel-sdk/whatsapp/; services/ingress/ (proposed)</x:v>
      </x:c>
      <x:c r="M54" s="29" t="str">
        <x:v>AT-WHA-008</x:v>
      </x:c>
      <x:c r="N54" s="39"/>
      <x:c r="O54" s="41"/>
      <x:c r="P54" s="43"/>
      <x:c r="Q54" s="43"/>
      <x:c r="R54" s="29" t="str">
        <x:v>S02-S11</x:v>
      </x:c>
      <x:c r="S54" s="39" t="str">
        <x:v>Proposed target paths; no repository implementation inspected. Completion requires linked evidence.</x:v>
      </x:c>
      <x:c r="T54" s="29" t="str">
        <x:f>IF(I54="Done",IF(N54="","MISSING EVIDENCE","Review evidence"),"Pending")</x:f>
        <x:v>Pending</x:v>
      </x:c>
      <x:c r="U54" s="29" t="str">
        <x:f>IF(AND(Q54&lt;&gt;"",Q54&lt;TODAY(),I54&lt;&gt;"Done"),"OVERDUE","")</x:f>
      </x:c>
    </x:row>
    <x:row r="55" ht="74" customHeight="1">
      <x:c r="A55" s="29" t="str">
        <x:v>WHA-009</x:v>
      </x:c>
      <x:c r="B55" s="29" t="str">
        <x:v>WhatsApp and Meta onboarding</x:v>
      </x:c>
      <x:c r="C55" s="29" t="str">
        <x:v>Business App coexistence</x:v>
      </x:c>
      <x:c r="D55" s="29" t="str">
        <x:v>G2</x:v>
      </x:c>
      <x:c r="E55" s="29" t="str">
        <x:v>P1</x:v>
      </x:c>
      <x:c r="F55" s="29" t="str">
        <x:v>Channels</x:v>
      </x:c>
      <x:c r="G55" s="39"/>
      <x:c r="H55" s="29" t="str">
        <x:v>PLT-008, EVT-003</x:v>
      </x:c>
      <x:c r="I55" s="39" t="str">
        <x:v>Not started</x:v>
      </x:c>
      <x:c r="J55" s="33" t="n">
        <x:f>IF(AND(I55="Done",N55&lt;&gt;""),1,0)</x:f>
        <x:v>0</x:v>
      </x:c>
      <x:c r="K55" s="29" t="str">
        <x:v>Eligible account history, echoes and sync events reconcile without triggering duplicate automation.</x:v>
      </x:c>
      <x:c r="L55" s="29" t="str">
        <x:v>packages/channel-sdk/whatsapp/; services/ingress/ (proposed)</x:v>
      </x:c>
      <x:c r="M55" s="29" t="str">
        <x:v>AT-WHA-009</x:v>
      </x:c>
      <x:c r="N55" s="39"/>
      <x:c r="O55" s="41"/>
      <x:c r="P55" s="43"/>
      <x:c r="Q55" s="43"/>
      <x:c r="R55" s="29" t="str">
        <x:v>S02-S11</x:v>
      </x:c>
      <x:c r="S55" s="39" t="str">
        <x:v>Proposed target paths; no repository implementation inspected. Completion requires linked evidence.</x:v>
      </x:c>
      <x:c r="T55" s="29" t="str">
        <x:f>IF(I55="Done",IF(N55="","MISSING EVIDENCE","Review evidence"),"Pending")</x:f>
        <x:v>Pending</x:v>
      </x:c>
      <x:c r="U55" s="29" t="str">
        <x:f>IF(AND(Q55&lt;&gt;"",Q55&lt;TODAY(),I55&lt;&gt;"Done"),"OVERDUE","")</x:f>
      </x:c>
    </x:row>
    <x:row r="56" ht="74" customHeight="1">
      <x:c r="A56" s="29" t="str">
        <x:v>WHA-010</x:v>
      </x:c>
      <x:c r="B56" s="29" t="str">
        <x:v>WhatsApp and Meta onboarding</x:v>
      </x:c>
      <x:c r="C56" s="29" t="str">
        <x:v>WhatsApp Flows integration</x:v>
      </x:c>
      <x:c r="D56" s="29" t="str">
        <x:v>G2</x:v>
      </x:c>
      <x:c r="E56" s="29" t="str">
        <x:v>P1</x:v>
      </x:c>
      <x:c r="F56" s="29" t="str">
        <x:v>Channels</x:v>
      </x:c>
      <x:c r="G56" s="39"/>
      <x:c r="H56" s="29" t="str">
        <x:v>PLT-008, EVT-003</x:v>
      </x:c>
      <x:c r="I56" s="39" t="str">
        <x:v>Not started</x:v>
      </x:c>
      <x:c r="J56" s="33" t="n">
        <x:f>IF(AND(I56="Done",N56&lt;&gt;""),1,0)</x:f>
        <x:v>0</x:v>
      </x:c>
      <x:c r="K56" s="29" t="str">
        <x:v>Flow assets, encryption/endpoint validation, publication and error recovery pass provider contract tests.</x:v>
      </x:c>
      <x:c r="L56" s="29" t="str">
        <x:v>packages/channel-sdk/whatsapp/; services/ingress/ (proposed)</x:v>
      </x:c>
      <x:c r="M56" s="29" t="str">
        <x:v>AT-WHA-010</x:v>
      </x:c>
      <x:c r="N56" s="39"/>
      <x:c r="O56" s="41"/>
      <x:c r="P56" s="43"/>
      <x:c r="Q56" s="43"/>
      <x:c r="R56" s="29" t="str">
        <x:v>S02-S11</x:v>
      </x:c>
      <x:c r="S56" s="39" t="str">
        <x:v>Proposed target paths; no repository implementation inspected. Completion requires linked evidence.</x:v>
      </x:c>
      <x:c r="T56" s="29" t="str">
        <x:f>IF(I56="Done",IF(N56="","MISSING EVIDENCE","Review evidence"),"Pending")</x:f>
        <x:v>Pending</x:v>
      </x:c>
      <x:c r="U56" s="29" t="str">
        <x:f>IF(AND(Q56&lt;&gt;"",Q56&lt;TODAY(),I56&lt;&gt;"Done"),"OVERDUE","")</x:f>
      </x:c>
    </x:row>
    <x:row r="57" ht="74" customHeight="1">
      <x:c r="A57" s="29" t="str">
        <x:v>WHA-011</x:v>
      </x:c>
      <x:c r="B57" s="29" t="str">
        <x:v>WhatsApp and Meta onboarding</x:v>
      </x:c>
      <x:c r="C57" s="29" t="str">
        <x:v>Catalog and WhatsApp commerce</x:v>
      </x:c>
      <x:c r="D57" s="29" t="str">
        <x:v>G2</x:v>
      </x:c>
      <x:c r="E57" s="29" t="str">
        <x:v>P1</x:v>
      </x:c>
      <x:c r="F57" s="29" t="str">
        <x:v>Channels</x:v>
      </x:c>
      <x:c r="G57" s="39"/>
      <x:c r="H57" s="29" t="str">
        <x:v>PLT-008, EVT-003</x:v>
      </x:c>
      <x:c r="I57" s="39" t="str">
        <x:v>Not started</x:v>
      </x:c>
      <x:c r="J57" s="33" t="n">
        <x:f>IF(AND(I57="Done",N57&lt;&gt;""),1,0)</x:f>
        <x:v>0</x:v>
      </x:c>
      <x:c r="K57" s="29" t="str">
        <x:v>Catalog linkage, product rendering and order callbacks work only for eligible compliant accounts.</x:v>
      </x:c>
      <x:c r="L57" s="29" t="str">
        <x:v>packages/channel-sdk/whatsapp/; services/ingress/ (proposed)</x:v>
      </x:c>
      <x:c r="M57" s="29" t="str">
        <x:v>AT-WHA-011</x:v>
      </x:c>
      <x:c r="N57" s="39"/>
      <x:c r="O57" s="41"/>
      <x:c r="P57" s="43"/>
      <x:c r="Q57" s="43"/>
      <x:c r="R57" s="29" t="str">
        <x:v>S02-S11</x:v>
      </x:c>
      <x:c r="S57" s="39" t="str">
        <x:v>Proposed target paths; no repository implementation inspected. Completion requires linked evidence.</x:v>
      </x:c>
      <x:c r="T57" s="29" t="str">
        <x:f>IF(I57="Done",IF(N57="","MISSING EVIDENCE","Review evidence"),"Pending")</x:f>
        <x:v>Pending</x:v>
      </x:c>
      <x:c r="U57" s="29" t="str">
        <x:f>IF(AND(Q57&lt;&gt;"",Q57&lt;TODAY(),I57&lt;&gt;"Done"),"OVERDUE","")</x:f>
      </x:c>
    </x:row>
    <x:row r="58" ht="74" customHeight="1">
      <x:c r="A58" s="29" t="str">
        <x:v>WHA-012</x:v>
      </x:c>
      <x:c r="B58" s="29" t="str">
        <x:v>WhatsApp and Meta onboarding</x:v>
      </x:c>
      <x:c r="C58" s="29" t="str">
        <x:v>Conditional advanced capabilities</x:v>
      </x:c>
      <x:c r="D58" s="29" t="str">
        <x:v>G3</x:v>
      </x:c>
      <x:c r="E58" s="29" t="str">
        <x:v>P1</x:v>
      </x:c>
      <x:c r="F58" s="29" t="str">
        <x:v>Channels</x:v>
      </x:c>
      <x:c r="G58" s="39"/>
      <x:c r="H58" s="29" t="str">
        <x:v>PLT-008, EVT-003</x:v>
      </x:c>
      <x:c r="I58" s="39" t="str">
        <x:v>Not started</x:v>
      </x:c>
      <x:c r="J58" s="33" t="n">
        <x:f>IF(AND(I58="Done",N58&lt;&gt;""),1,0)</x:f>
        <x:v>0</x:v>
      </x:c>
      <x:c r="K58" s="29" t="str">
        <x:v>Groups, native payments, marketing-specific APIs and other gated features remain disabled until verified. Meta-native Business Agent interoperability remains disabled unless an official supported interface, permission and contract are verified.</x:v>
      </x:c>
      <x:c r="L58" s="29" t="str">
        <x:v>packages/channel-sdk/whatsapp/; services/ingress/ (proposed)</x:v>
      </x:c>
      <x:c r="M58" s="29" t="str">
        <x:v>AT-WHA-012</x:v>
      </x:c>
      <x:c r="N58" s="39"/>
      <x:c r="O58" s="41"/>
      <x:c r="P58" s="43"/>
      <x:c r="Q58" s="43"/>
      <x:c r="R58" s="29" t="str">
        <x:v>S02-S11</x:v>
      </x:c>
      <x:c r="S58" s="39" t="str">
        <x:v>Proposed target paths; no repository implementation inspected. Completion requires linked evidence.</x:v>
      </x:c>
      <x:c r="T58" s="29" t="str">
        <x:f>IF(I58="Done",IF(N58="","MISSING EVIDENCE","Review evidence"),"Pending")</x:f>
        <x:v>Pending</x:v>
      </x:c>
      <x:c r="U58" s="29" t="str">
        <x:f>IF(AND(Q58&lt;&gt;"",Q58&lt;TODAY(),I58&lt;&gt;"Done"),"OVERDUE","")</x:f>
      </x:c>
    </x:row>
    <x:row r="59" ht="74" customHeight="1">
      <x:c r="A59" s="29" t="str">
        <x:v>INS-001</x:v>
      </x:c>
      <x:c r="B59" s="29" t="str">
        <x:v>Instagram, Messenger and Ads</x:v>
      </x:c>
      <x:c r="C59" s="29" t="str">
        <x:v>Instagram authorization adapter</x:v>
      </x:c>
      <x:c r="D59" s="29" t="str">
        <x:v>G2</x:v>
      </x:c>
      <x:c r="E59" s="29" t="str">
        <x:v>P1</x:v>
      </x:c>
      <x:c r="F59" s="29" t="str">
        <x:v>Channels</x:v>
      </x:c>
      <x:c r="G59" s="39"/>
      <x:c r="H59" s="29" t="str">
        <x:v>WHA-002</x:v>
      </x:c>
      <x:c r="I59" s="39" t="str">
        <x:v>Not started</x:v>
      </x:c>
      <x:c r="J59" s="33" t="n">
        <x:f>IF(AND(I59="Done",N59&lt;&gt;""),1,0)</x:f>
        <x:v>0</x:v>
      </x:c>
      <x:c r="K59" s="29" t="str">
        <x:v>Selected login route, scopes and account type are independently reviewed; account binding is validated.</x:v>
      </x:c>
      <x:c r="L59" s="29" t="str">
        <x:v>packages/channel-sdk/meta/ (proposed)</x:v>
      </x:c>
      <x:c r="M59" s="29" t="str">
        <x:v>AT-INS-001</x:v>
      </x:c>
      <x:c r="N59" s="39"/>
      <x:c r="O59" s="41"/>
      <x:c r="P59" s="43"/>
      <x:c r="Q59" s="43"/>
      <x:c r="R59" s="29" t="str">
        <x:v>S12</x:v>
      </x:c>
      <x:c r="S59" s="39" t="str">
        <x:v>Proposed target paths; no repository implementation inspected. Completion requires linked evidence.</x:v>
      </x:c>
      <x:c r="T59" s="29" t="str">
        <x:f>IF(I59="Done",IF(N59="","MISSING EVIDENCE","Review evidence"),"Pending")</x:f>
        <x:v>Pending</x:v>
      </x:c>
      <x:c r="U59" s="29" t="str">
        <x:f>IF(AND(Q59&lt;&gt;"",Q59&lt;TODAY(),I59&lt;&gt;"Done"),"OVERDUE","")</x:f>
      </x:c>
    </x:row>
    <x:row r="60" ht="74" customHeight="1">
      <x:c r="A60" s="29" t="str">
        <x:v>INS-002</x:v>
      </x:c>
      <x:c r="B60" s="29" t="str">
        <x:v>Instagram, Messenger and Ads</x:v>
      </x:c>
      <x:c r="C60" s="29" t="str">
        <x:v>Instagram DM receive and send</x:v>
      </x:c>
      <x:c r="D60" s="29" t="str">
        <x:v>G2</x:v>
      </x:c>
      <x:c r="E60" s="29" t="str">
        <x:v>P1</x:v>
      </x:c>
      <x:c r="F60" s="29" t="str">
        <x:v>Channels</x:v>
      </x:c>
      <x:c r="G60" s="39"/>
      <x:c r="H60" s="29" t="str">
        <x:v>WHA-002</x:v>
      </x:c>
      <x:c r="I60" s="39" t="str">
        <x:v>Not started</x:v>
      </x:c>
      <x:c r="J60" s="33" t="n">
        <x:f>IF(AND(I60="Done",N60&lt;&gt;""),1,0)</x:f>
        <x:v>0</x:v>
      </x:c>
      <x:c r="K60" s="29" t="str">
        <x:v>Permitted message types and initiation/window restrictions pass live contract tests.</x:v>
      </x:c>
      <x:c r="L60" s="29" t="str">
        <x:v>packages/channel-sdk/meta/ (proposed)</x:v>
      </x:c>
      <x:c r="M60" s="29" t="str">
        <x:v>AT-INS-002</x:v>
      </x:c>
      <x:c r="N60" s="39"/>
      <x:c r="O60" s="41"/>
      <x:c r="P60" s="43"/>
      <x:c r="Q60" s="43"/>
      <x:c r="R60" s="29" t="str">
        <x:v>S12</x:v>
      </x:c>
      <x:c r="S60" s="39" t="str">
        <x:v>Proposed target paths; no repository implementation inspected. Completion requires linked evidence.</x:v>
      </x:c>
      <x:c r="T60" s="29" t="str">
        <x:f>IF(I60="Done",IF(N60="","MISSING EVIDENCE","Review evidence"),"Pending")</x:f>
        <x:v>Pending</x:v>
      </x:c>
      <x:c r="U60" s="29" t="str">
        <x:f>IF(AND(Q60&lt;&gt;"",Q60&lt;TODAY(),I60&lt;&gt;"Done"),"OVERDUE","")</x:f>
      </x:c>
    </x:row>
    <x:row r="61" ht="74" customHeight="1">
      <x:c r="A61" s="29" t="str">
        <x:v>INS-003</x:v>
      </x:c>
      <x:c r="B61" s="29" t="str">
        <x:v>Instagram, Messenger and Ads</x:v>
      </x:c>
      <x:c r="C61" s="29" t="str">
        <x:v>Instagram comments and private replies</x:v>
      </x:c>
      <x:c r="D61" s="29" t="str">
        <x:v>G2</x:v>
      </x:c>
      <x:c r="E61" s="29" t="str">
        <x:v>P1</x:v>
      </x:c>
      <x:c r="F61" s="29" t="str">
        <x:v>Channels</x:v>
      </x:c>
      <x:c r="G61" s="39"/>
      <x:c r="H61" s="29" t="str">
        <x:v>WHA-002</x:v>
      </x:c>
      <x:c r="I61" s="39" t="str">
        <x:v>Not started</x:v>
      </x:c>
      <x:c r="J61" s="33" t="n">
        <x:f>IF(AND(I61="Done",N61&lt;&gt;""),1,0)</x:f>
        <x:v>0</x:v>
      </x:c>
      <x:c r="K61" s="29" t="str">
        <x:v>Moderation/reply actions are scoped, rate-limited, audited and expose documented restrictions.</x:v>
      </x:c>
      <x:c r="L61" s="29" t="str">
        <x:v>packages/channel-sdk/meta/ (proposed)</x:v>
      </x:c>
      <x:c r="M61" s="29" t="str">
        <x:v>AT-INS-003</x:v>
      </x:c>
      <x:c r="N61" s="39"/>
      <x:c r="O61" s="41"/>
      <x:c r="P61" s="43"/>
      <x:c r="Q61" s="43"/>
      <x:c r="R61" s="29" t="str">
        <x:v>S12</x:v>
      </x:c>
      <x:c r="S61" s="39" t="str">
        <x:v>Proposed target paths; no repository implementation inspected. Completion requires linked evidence.</x:v>
      </x:c>
      <x:c r="T61" s="29" t="str">
        <x:f>IF(I61="Done",IF(N61="","MISSING EVIDENCE","Review evidence"),"Pending")</x:f>
        <x:v>Pending</x:v>
      </x:c>
      <x:c r="U61" s="29" t="str">
        <x:f>IF(AND(Q61&lt;&gt;"",Q61&lt;TODAY(),I61&lt;&gt;"Done"),"OVERDUE","")</x:f>
      </x:c>
    </x:row>
    <x:row r="62" ht="74" customHeight="1">
      <x:c r="A62" s="29" t="str">
        <x:v>INS-004</x:v>
      </x:c>
      <x:c r="B62" s="29" t="str">
        <x:v>Instagram, Messenger and Ads</x:v>
      </x:c>
      <x:c r="C62" s="29" t="str">
        <x:v>Instagram publishing and insights</x:v>
      </x:c>
      <x:c r="D62" s="29" t="str">
        <x:v>G2</x:v>
      </x:c>
      <x:c r="E62" s="29" t="str">
        <x:v>P1</x:v>
      </x:c>
      <x:c r="F62" s="29" t="str">
        <x:v>Channels</x:v>
      </x:c>
      <x:c r="G62" s="39"/>
      <x:c r="H62" s="29" t="str">
        <x:v>WHA-002</x:v>
      </x:c>
      <x:c r="I62" s="39" t="str">
        <x:v>Not started</x:v>
      </x:c>
      <x:c r="J62" s="33" t="n">
        <x:f>IF(AND(I62="Done",N62&lt;&gt;""),1,0)</x:f>
        <x:v>0</x:v>
      </x:c>
      <x:c r="K62" s="29" t="str">
        <x:v>Media validation, publish container lifecycle and available metrics are represented without invented capabilities.</x:v>
      </x:c>
      <x:c r="L62" s="29" t="str">
        <x:v>packages/channel-sdk/meta/ (proposed)</x:v>
      </x:c>
      <x:c r="M62" s="29" t="str">
        <x:v>AT-INS-004</x:v>
      </x:c>
      <x:c r="N62" s="39"/>
      <x:c r="O62" s="41"/>
      <x:c r="P62" s="43"/>
      <x:c r="Q62" s="43"/>
      <x:c r="R62" s="29" t="str">
        <x:v>S12</x:v>
      </x:c>
      <x:c r="S62" s="39" t="str">
        <x:v>Proposed target paths; no repository implementation inspected. Completion requires linked evidence.</x:v>
      </x:c>
      <x:c r="T62" s="29" t="str">
        <x:f>IF(I62="Done",IF(N62="","MISSING EVIDENCE","Review evidence"),"Pending")</x:f>
        <x:v>Pending</x:v>
      </x:c>
      <x:c r="U62" s="29" t="str">
        <x:f>IF(AND(Q62&lt;&gt;"",Q62&lt;TODAY(),I62&lt;&gt;"Done"),"OVERDUE","")</x:f>
      </x:c>
    </x:row>
    <x:row r="63" ht="74" customHeight="1">
      <x:c r="A63" s="29" t="str">
        <x:v>INS-005</x:v>
      </x:c>
      <x:c r="B63" s="29" t="str">
        <x:v>Instagram, Messenger and Ads</x:v>
      </x:c>
      <x:c r="C63" s="29" t="str">
        <x:v>Messenger Page onboarding</x:v>
      </x:c>
      <x:c r="D63" s="29" t="str">
        <x:v>G2</x:v>
      </x:c>
      <x:c r="E63" s="29" t="str">
        <x:v>P1</x:v>
      </x:c>
      <x:c r="F63" s="29" t="str">
        <x:v>Channels</x:v>
      </x:c>
      <x:c r="G63" s="39"/>
      <x:c r="H63" s="29" t="str">
        <x:v>WHA-002</x:v>
      </x:c>
      <x:c r="I63" s="39" t="str">
        <x:v>Not started</x:v>
      </x:c>
      <x:c r="J63" s="33" t="n">
        <x:f>IF(AND(I63="Done",N63&lt;&gt;""),1,0)</x:f>
        <x:v>0</x:v>
      </x:c>
      <x:c r="K63" s="29" t="str">
        <x:v>Page consent, role ownership and token lifecycle pass review and revocation tests.</x:v>
      </x:c>
      <x:c r="L63" s="29" t="str">
        <x:v>packages/channel-sdk/meta/ (proposed)</x:v>
      </x:c>
      <x:c r="M63" s="29" t="str">
        <x:v>AT-INS-005</x:v>
      </x:c>
      <x:c r="N63" s="39"/>
      <x:c r="O63" s="41"/>
      <x:c r="P63" s="43"/>
      <x:c r="Q63" s="43"/>
      <x:c r="R63" s="29" t="str">
        <x:v>S12</x:v>
      </x:c>
      <x:c r="S63" s="39" t="str">
        <x:v>Proposed target paths; no repository implementation inspected. Completion requires linked evidence.</x:v>
      </x:c>
      <x:c r="T63" s="29" t="str">
        <x:f>IF(I63="Done",IF(N63="","MISSING EVIDENCE","Review evidence"),"Pending")</x:f>
        <x:v>Pending</x:v>
      </x:c>
      <x:c r="U63" s="29" t="str">
        <x:f>IF(AND(Q63&lt;&gt;"",Q63&lt;TODAY(),I63&lt;&gt;"Done"),"OVERDUE","")</x:f>
      </x:c>
    </x:row>
    <x:row r="64" ht="74" customHeight="1">
      <x:c r="A64" s="29" t="str">
        <x:v>INS-006</x:v>
      </x:c>
      <x:c r="B64" s="29" t="str">
        <x:v>Instagram, Messenger and Ads</x:v>
      </x:c>
      <x:c r="C64" s="29" t="str">
        <x:v>Messenger conversation adapter</x:v>
      </x:c>
      <x:c r="D64" s="29" t="str">
        <x:v>G2</x:v>
      </x:c>
      <x:c r="E64" s="29" t="str">
        <x:v>P1</x:v>
      </x:c>
      <x:c r="F64" s="29" t="str">
        <x:v>Channels</x:v>
      </x:c>
      <x:c r="G64" s="39"/>
      <x:c r="H64" s="29" t="str">
        <x:v>WHA-002</x:v>
      </x:c>
      <x:c r="I64" s="39" t="str">
        <x:v>Not started</x:v>
      </x:c>
      <x:c r="J64" s="33" t="n">
        <x:f>IF(AND(I64="Done",N64&lt;&gt;""),1,0)</x:f>
        <x:v>0</x:v>
      </x:c>
      <x:c r="K64" s="29" t="str">
        <x:v>Messages, postbacks, allowed tags/windows and delivery events are normalized correctly.</x:v>
      </x:c>
      <x:c r="L64" s="29" t="str">
        <x:v>packages/channel-sdk/meta/ (proposed)</x:v>
      </x:c>
      <x:c r="M64" s="29" t="str">
        <x:v>AT-INS-006</x:v>
      </x:c>
      <x:c r="N64" s="39"/>
      <x:c r="O64" s="41"/>
      <x:c r="P64" s="43"/>
      <x:c r="Q64" s="43"/>
      <x:c r="R64" s="29" t="str">
        <x:v>S12</x:v>
      </x:c>
      <x:c r="S64" s="39" t="str">
        <x:v>Proposed target paths; no repository implementation inspected. Completion requires linked evidence.</x:v>
      </x:c>
      <x:c r="T64" s="29" t="str">
        <x:f>IF(I64="Done",IF(N64="","MISSING EVIDENCE","Review evidence"),"Pending")</x:f>
        <x:v>Pending</x:v>
      </x:c>
      <x:c r="U64" s="29" t="str">
        <x:f>IF(AND(Q64&lt;&gt;"",Q64&lt;TODAY(),I64&lt;&gt;"Done"),"OVERDUE","")</x:f>
      </x:c>
    </x:row>
    <x:row r="65" ht="74" customHeight="1">
      <x:c r="A65" s="29" t="str">
        <x:v>INS-007</x:v>
      </x:c>
      <x:c r="B65" s="29" t="str">
        <x:v>Instagram, Messenger and Ads</x:v>
      </x:c>
      <x:c r="C65" s="29" t="str">
        <x:v>Lead Ads and click-to-message attribution</x:v>
      </x:c>
      <x:c r="D65" s="29" t="str">
        <x:v>G2</x:v>
      </x:c>
      <x:c r="E65" s="29" t="str">
        <x:v>P1</x:v>
      </x:c>
      <x:c r="F65" s="29" t="str">
        <x:v>Channels</x:v>
      </x:c>
      <x:c r="G65" s="39"/>
      <x:c r="H65" s="29" t="str">
        <x:v>WHA-002</x:v>
      </x:c>
      <x:c r="I65" s="39" t="str">
        <x:v>Not started</x:v>
      </x:c>
      <x:c r="J65" s="33" t="n">
        <x:f>IF(AND(I65="Done",N65&lt;&gt;""),1,0)</x:f>
        <x:v>0</x:v>
      </x:c>
      <x:c r="K65" s="29" t="str">
        <x:v>Approved ads/lead scopes fetch only authorized lead data and preserve attribution provenance.</x:v>
      </x:c>
      <x:c r="L65" s="29" t="str">
        <x:v>packages/channel-sdk/meta/ (proposed)</x:v>
      </x:c>
      <x:c r="M65" s="29" t="str">
        <x:v>AT-INS-007</x:v>
      </x:c>
      <x:c r="N65" s="39"/>
      <x:c r="O65" s="41"/>
      <x:c r="P65" s="43"/>
      <x:c r="Q65" s="43"/>
      <x:c r="R65" s="29" t="str">
        <x:v>S12</x:v>
      </x:c>
      <x:c r="S65" s="39" t="str">
        <x:v>Proposed target paths; no repository implementation inspected. Completion requires linked evidence.</x:v>
      </x:c>
      <x:c r="T65" s="29" t="str">
        <x:f>IF(I65="Done",IF(N65="","MISSING EVIDENCE","Review evidence"),"Pending")</x:f>
        <x:v>Pending</x:v>
      </x:c>
      <x:c r="U65" s="29" t="str">
        <x:f>IF(AND(Q65&lt;&gt;"",Q65&lt;TODAY(),I65&lt;&gt;"Done"),"OVERDUE","")</x:f>
      </x:c>
    </x:row>
    <x:row r="66" ht="74" customHeight="1">
      <x:c r="A66" s="29" t="str">
        <x:v>INS-008</x:v>
      </x:c>
      <x:c r="B66" s="29" t="str">
        <x:v>Instagram, Messenger and Ads</x:v>
      </x:c>
      <x:c r="C66" s="29" t="str">
        <x:v>Ads campaign controls and CAPI</x:v>
      </x:c>
      <x:c r="D66" s="29" t="str">
        <x:v>G2</x:v>
      </x:c>
      <x:c r="E66" s="29" t="str">
        <x:v>P1</x:v>
      </x:c>
      <x:c r="F66" s="29" t="str">
        <x:v>Channels</x:v>
      </x:c>
      <x:c r="G66" s="39"/>
      <x:c r="H66" s="29" t="str">
        <x:v>WHA-002</x:v>
      </x:c>
      <x:c r="I66" s="39" t="str">
        <x:v>Not started</x:v>
      </x:c>
      <x:c r="J66" s="33" t="n">
        <x:f>IF(AND(I66="Done",N66&lt;&gt;""),1,0)</x:f>
        <x:v>0</x:v>
      </x:c>
      <x:c r="K66" s="29" t="str">
        <x:v>Budget approvals and conversion dedup are enforced; no unauthorized ad spending is possible.</x:v>
      </x:c>
      <x:c r="L66" s="29" t="str">
        <x:v>packages/channel-sdk/meta/ (proposed)</x:v>
      </x:c>
      <x:c r="M66" s="29" t="str">
        <x:v>AT-INS-008</x:v>
      </x:c>
      <x:c r="N66" s="39"/>
      <x:c r="O66" s="41"/>
      <x:c r="P66" s="43"/>
      <x:c r="Q66" s="43"/>
      <x:c r="R66" s="29" t="str">
        <x:v>S12</x:v>
      </x:c>
      <x:c r="S66" s="39" t="str">
        <x:v>Proposed target paths; no repository implementation inspected. Completion requires linked evidence.</x:v>
      </x:c>
      <x:c r="T66" s="29" t="str">
        <x:f>IF(I66="Done",IF(N66="","MISSING EVIDENCE","Review evidence"),"Pending")</x:f>
        <x:v>Pending</x:v>
      </x:c>
      <x:c r="U66" s="29" t="str">
        <x:f>IF(AND(Q66&lt;&gt;"",Q66&lt;TODAY(),I66&lt;&gt;"Done"),"OVERDUE","")</x:f>
      </x:c>
    </x:row>
    <x:row r="67" ht="74" customHeight="1">
      <x:c r="A67" s="29" t="str">
        <x:v>TGM-001</x:v>
      </x:c>
      <x:c r="B67" s="29" t="str">
        <x:v>Telegram and channel expansion</x:v>
      </x:c>
      <x:c r="C67" s="29" t="str">
        <x:v>Bot and business-connection onboarding</x:v>
      </x:c>
      <x:c r="D67" s="29" t="str">
        <x:v>G2</x:v>
      </x:c>
      <x:c r="E67" s="29" t="str">
        <x:v>P1</x:v>
      </x:c>
      <x:c r="F67" s="29" t="str">
        <x:v>Channels</x:v>
      </x:c>
      <x:c r="G67" s="39"/>
      <x:c r="H67" s="29" t="str">
        <x:v>EVT-003</x:v>
      </x:c>
      <x:c r="I67" s="39" t="str">
        <x:v>Not started</x:v>
      </x:c>
      <x:c r="J67" s="33" t="n">
        <x:f>IF(AND(I67="Done",N67&lt;&gt;""),1,0)</x:f>
        <x:v>0</x:v>
      </x:c>
      <x:c r="K67" s="29" t="str">
        <x:v>Bot identity and explicit connection rights are verified per tenant.</x:v>
      </x:c>
      <x:c r="L67" s="29" t="str">
        <x:v>packages/channel-sdk/telegram/; packages/channel-sdk/ (proposed)</x:v>
      </x:c>
      <x:c r="M67" s="29" t="str">
        <x:v>AT-TGM-001</x:v>
      </x:c>
      <x:c r="N67" s="39"/>
      <x:c r="O67" s="41"/>
      <x:c r="P67" s="43"/>
      <x:c r="Q67" s="43"/>
      <x:c r="R67" s="29" t="str">
        <x:v>S13-S14</x:v>
      </x:c>
      <x:c r="S67" s="39" t="str">
        <x:v>Proposed target paths; no repository implementation inspected. Completion requires linked evidence.</x:v>
      </x:c>
      <x:c r="T67" s="29" t="str">
        <x:f>IF(I67="Done",IF(N67="","MISSING EVIDENCE","Review evidence"),"Pending")</x:f>
        <x:v>Pending</x:v>
      </x:c>
      <x:c r="U67" s="29" t="str">
        <x:f>IF(AND(Q67&lt;&gt;"",Q67&lt;TODAY(),I67&lt;&gt;"Done"),"OVERDUE","")</x:f>
      </x:c>
    </x:row>
    <x:row r="68" ht="74" customHeight="1">
      <x:c r="A68" s="29" t="str">
        <x:v>TGM-002</x:v>
      </x:c>
      <x:c r="B68" s="29" t="str">
        <x:v>Telegram and channel expansion</x:v>
      </x:c>
      <x:c r="C68" s="29" t="str">
        <x:v>Telegram webhook and update handling</x:v>
      </x:c>
      <x:c r="D68" s="29" t="str">
        <x:v>G2</x:v>
      </x:c>
      <x:c r="E68" s="29" t="str">
        <x:v>P1</x:v>
      </x:c>
      <x:c r="F68" s="29" t="str">
        <x:v>Channels</x:v>
      </x:c>
      <x:c r="G68" s="39"/>
      <x:c r="H68" s="29" t="str">
        <x:v>EVT-003</x:v>
      </x:c>
      <x:c r="I68" s="39" t="str">
        <x:v>Not started</x:v>
      </x:c>
      <x:c r="J68" s="33" t="n">
        <x:f>IF(AND(I68="Done",N68&lt;&gt;""),1,0)</x:f>
        <x:v>0</x:v>
      </x:c>
      <x:c r="K68" s="29" t="str">
        <x:v>Secret-token header verified; update_id dedup and edited/deleted/business events tested.</x:v>
      </x:c>
      <x:c r="L68" s="29" t="str">
        <x:v>packages/channel-sdk/telegram/; packages/channel-sdk/ (proposed)</x:v>
      </x:c>
      <x:c r="M68" s="29" t="str">
        <x:v>AT-TGM-002</x:v>
      </x:c>
      <x:c r="N68" s="39"/>
      <x:c r="O68" s="41"/>
      <x:c r="P68" s="43"/>
      <x:c r="Q68" s="43"/>
      <x:c r="R68" s="29" t="str">
        <x:v>S13-S14</x:v>
      </x:c>
      <x:c r="S68" s="39" t="str">
        <x:v>Proposed target paths; no repository implementation inspected. Completion requires linked evidence.</x:v>
      </x:c>
      <x:c r="T68" s="29" t="str">
        <x:f>IF(I68="Done",IF(N68="","MISSING EVIDENCE","Review evidence"),"Pending")</x:f>
        <x:v>Pending</x:v>
      </x:c>
      <x:c r="U68" s="29" t="str">
        <x:f>IF(AND(Q68&lt;&gt;"",Q68&lt;TODAY(),I68&lt;&gt;"Done"),"OVERDUE","")</x:f>
      </x:c>
    </x:row>
    <x:row r="69" ht="74" customHeight="1">
      <x:c r="A69" s="29" t="str">
        <x:v>TGM-003</x:v>
      </x:c>
      <x:c r="B69" s="29" t="str">
        <x:v>Telegram and channel expansion</x:v>
      </x:c>
      <x:c r="C69" s="29" t="str">
        <x:v>Telegram send and media adapter</x:v>
      </x:c>
      <x:c r="D69" s="29" t="str">
        <x:v>G2</x:v>
      </x:c>
      <x:c r="E69" s="29" t="str">
        <x:v>P1</x:v>
      </x:c>
      <x:c r="F69" s="29" t="str">
        <x:v>Channels</x:v>
      </x:c>
      <x:c r="G69" s="39"/>
      <x:c r="H69" s="29" t="str">
        <x:v>EVT-003</x:v>
      </x:c>
      <x:c r="I69" s="39" t="str">
        <x:v>Not started</x:v>
      </x:c>
      <x:c r="J69" s="33" t="n">
        <x:f>IF(AND(I69="Done",N69&lt;&gt;""),1,0)</x:f>
        <x:v>0</x:v>
      </x:c>
      <x:c r="K69" s="29" t="str">
        <x:v>Rate limits, retry_after and business_connection_id handled; unsupported read receipts stay unknown.</x:v>
      </x:c>
      <x:c r="L69" s="29" t="str">
        <x:v>packages/channel-sdk/telegram/; packages/channel-sdk/ (proposed)</x:v>
      </x:c>
      <x:c r="M69" s="29" t="str">
        <x:v>AT-TGM-003</x:v>
      </x:c>
      <x:c r="N69" s="39"/>
      <x:c r="O69" s="41"/>
      <x:c r="P69" s="43"/>
      <x:c r="Q69" s="43"/>
      <x:c r="R69" s="29" t="str">
        <x:v>S13-S14</x:v>
      </x:c>
      <x:c r="S69" s="39" t="str">
        <x:v>Proposed target paths; no repository implementation inspected. Completion requires linked evidence.</x:v>
      </x:c>
      <x:c r="T69" s="29" t="str">
        <x:f>IF(I69="Done",IF(N69="","MISSING EVIDENCE","Review evidence"),"Pending")</x:f>
        <x:v>Pending</x:v>
      </x:c>
      <x:c r="U69" s="29" t="str">
        <x:f>IF(AND(Q69&lt;&gt;"",Q69&lt;TODAY(),I69&lt;&gt;"Done"),"OVERDUE","")</x:f>
      </x:c>
    </x:row>
    <x:row r="70" ht="74" customHeight="1">
      <x:c r="A70" s="29" t="str">
        <x:v>TGM-004</x:v>
      </x:c>
      <x:c r="B70" s="29" t="str">
        <x:v>Telegram and channel expansion</x:v>
      </x:c>
      <x:c r="C70" s="29" t="str">
        <x:v>Telegram Mini App experience</x:v>
      </x:c>
      <x:c r="D70" s="29" t="str">
        <x:v>G2</x:v>
      </x:c>
      <x:c r="E70" s="29" t="str">
        <x:v>P1</x:v>
      </x:c>
      <x:c r="F70" s="29" t="str">
        <x:v>Channels</x:v>
      </x:c>
      <x:c r="G70" s="39"/>
      <x:c r="H70" s="29" t="str">
        <x:v>EVT-003</x:v>
      </x:c>
      <x:c r="I70" s="39" t="str">
        <x:v>Not started</x:v>
      </x:c>
      <x:c r="J70" s="33" t="n">
        <x:f>IF(AND(I70="Done",N70&lt;&gt;""),1,0)</x:f>
        <x:v>0</x:v>
      </x:c>
      <x:c r="K70" s="29" t="str">
        <x:v>Server validates initialization data; web sessions cannot impersonate another customer.</x:v>
      </x:c>
      <x:c r="L70" s="29" t="str">
        <x:v>packages/channel-sdk/telegram/; packages/channel-sdk/ (proposed)</x:v>
      </x:c>
      <x:c r="M70" s="29" t="str">
        <x:v>AT-TGM-004</x:v>
      </x:c>
      <x:c r="N70" s="39"/>
      <x:c r="O70" s="41"/>
      <x:c r="P70" s="43"/>
      <x:c r="Q70" s="43"/>
      <x:c r="R70" s="29" t="str">
        <x:v>S13-S14</x:v>
      </x:c>
      <x:c r="S70" s="39" t="str">
        <x:v>Proposed target paths; no repository implementation inspected. Completion requires linked evidence.</x:v>
      </x:c>
      <x:c r="T70" s="29" t="str">
        <x:f>IF(I70="Done",IF(N70="","MISSING EVIDENCE","Review evidence"),"Pending")</x:f>
        <x:v>Pending</x:v>
      </x:c>
      <x:c r="U70" s="29" t="str">
        <x:f>IF(AND(Q70&lt;&gt;"",Q70&lt;TODAY(),I70&lt;&gt;"Done"),"OVERDUE","")</x:f>
      </x:c>
    </x:row>
    <x:row r="71" ht="74" customHeight="1">
      <x:c r="A71" s="29" t="str">
        <x:v>TGM-005</x:v>
      </x:c>
      <x:c r="B71" s="29" t="str">
        <x:v>Telegram and channel expansion</x:v>
      </x:c>
      <x:c r="C71" s="29" t="str">
        <x:v>Telegram granular business actions</x:v>
      </x:c>
      <x:c r="D71" s="29" t="str">
        <x:v>G2</x:v>
      </x:c>
      <x:c r="E71" s="29" t="str">
        <x:v>P1</x:v>
      </x:c>
      <x:c r="F71" s="29" t="str">
        <x:v>Channels</x:v>
      </x:c>
      <x:c r="G71" s="39"/>
      <x:c r="H71" s="29" t="str">
        <x:v>EVT-003</x:v>
      </x:c>
      <x:c r="I71" s="39" t="str">
        <x:v>Not started</x:v>
      </x:c>
      <x:c r="J71" s="33" t="n">
        <x:f>IF(AND(I71="Done",N71&lt;&gt;""),1,0)</x:f>
        <x:v>0</x:v>
      </x:c>
      <x:c r="K71" s="29" t="str">
        <x:v>Read/delete/story and other supported rights are checked before each action and hidden when absent.</x:v>
      </x:c>
      <x:c r="L71" s="29" t="str">
        <x:v>packages/channel-sdk/telegram/; packages/channel-sdk/ (proposed)</x:v>
      </x:c>
      <x:c r="M71" s="29" t="str">
        <x:v>AT-TGM-005</x:v>
      </x:c>
      <x:c r="N71" s="39"/>
      <x:c r="O71" s="41"/>
      <x:c r="P71" s="43"/>
      <x:c r="Q71" s="43"/>
      <x:c r="R71" s="29" t="str">
        <x:v>S13-S14</x:v>
      </x:c>
      <x:c r="S71" s="39" t="str">
        <x:v>Proposed target paths; no repository implementation inspected. Completion requires linked evidence.</x:v>
      </x:c>
      <x:c r="T71" s="29" t="str">
        <x:f>IF(I71="Done",IF(N71="","MISSING EVIDENCE","Review evidence"),"Pending")</x:f>
        <x:v>Pending</x:v>
      </x:c>
      <x:c r="U71" s="29" t="str">
        <x:f>IF(AND(Q71&lt;&gt;"",Q71&lt;TODAY(),I71&lt;&gt;"Done"),"OVERDUE","")</x:f>
      </x:c>
    </x:row>
    <x:row r="72" ht="74" customHeight="1">
      <x:c r="A72" s="29" t="str">
        <x:v>TGM-006</x:v>
      </x:c>
      <x:c r="B72" s="29" t="str">
        <x:v>Telegram and channel expansion</x:v>
      </x:c>
      <x:c r="C72" s="29" t="str">
        <x:v>Channel SDK conformance suite</x:v>
      </x:c>
      <x:c r="D72" s="29" t="str">
        <x:v>G2</x:v>
      </x:c>
      <x:c r="E72" s="29" t="str">
        <x:v>P1</x:v>
      </x:c>
      <x:c r="F72" s="29" t="str">
        <x:v>Channels</x:v>
      </x:c>
      <x:c r="G72" s="39"/>
      <x:c r="H72" s="29" t="str">
        <x:v>EVT-003</x:v>
      </x:c>
      <x:c r="I72" s="39" t="str">
        <x:v>Not started</x:v>
      </x:c>
      <x:c r="J72" s="33" t="n">
        <x:f>IF(AND(I72="Done",N72&lt;&gt;""),1,0)</x:f>
        <x:v>0</x:v>
      </x:c>
      <x:c r="K72" s="29" t="str">
        <x:v>New adapters declare capabilities, auth, event mapping, idempotency and error classification.</x:v>
      </x:c>
      <x:c r="L72" s="29" t="str">
        <x:v>packages/channel-sdk/telegram/; packages/channel-sdk/ (proposed)</x:v>
      </x:c>
      <x:c r="M72" s="29" t="str">
        <x:v>AT-TGM-006</x:v>
      </x:c>
      <x:c r="N72" s="39"/>
      <x:c r="O72" s="41"/>
      <x:c r="P72" s="43"/>
      <x:c r="Q72" s="43"/>
      <x:c r="R72" s="29" t="str">
        <x:v>S13-S14</x:v>
      </x:c>
      <x:c r="S72" s="39" t="str">
        <x:v>Proposed target paths; no repository implementation inspected. Completion requires linked evidence.</x:v>
      </x:c>
      <x:c r="T72" s="29" t="str">
        <x:f>IF(I72="Done",IF(N72="","MISSING EVIDENCE","Review evidence"),"Pending")</x:f>
        <x:v>Pending</x:v>
      </x:c>
      <x:c r="U72" s="29" t="str">
        <x:f>IF(AND(Q72&lt;&gt;"",Q72&lt;TODAY(),I72&lt;&gt;"Done"),"OVERDUE","")</x:f>
      </x:c>
    </x:row>
    <x:row r="73" ht="74" customHeight="1">
      <x:c r="A73" s="29" t="str">
        <x:v>TGM-007</x:v>
      </x:c>
      <x:c r="B73" s="29" t="str">
        <x:v>Telegram and channel expansion</x:v>
      </x:c>
      <x:c r="C73" s="29" t="str">
        <x:v>RCS, SMS and email extension</x:v>
      </x:c>
      <x:c r="D73" s="29" t="str">
        <x:v>G2</x:v>
      </x:c>
      <x:c r="E73" s="29" t="str">
        <x:v>P1</x:v>
      </x:c>
      <x:c r="F73" s="29" t="str">
        <x:v>Channels</x:v>
      </x:c>
      <x:c r="G73" s="39"/>
      <x:c r="H73" s="29" t="str">
        <x:v>EVT-003</x:v>
      </x:c>
      <x:c r="I73" s="39" t="str">
        <x:v>Not started</x:v>
      </x:c>
      <x:c r="J73" s="33" t="n">
        <x:f>IF(AND(I73="Done",N73&lt;&gt;""),1,0)</x:f>
        <x:v>0</x:v>
      </x:c>
      <x:c r="K73" s="29" t="str">
        <x:v>Provider onboarding, sender approvals, consent and delivery semantics are separate per channel.</x:v>
      </x:c>
      <x:c r="L73" s="29" t="str">
        <x:v>packages/channel-sdk/telegram/; packages/channel-sdk/ (proposed)</x:v>
      </x:c>
      <x:c r="M73" s="29" t="str">
        <x:v>AT-TGM-007</x:v>
      </x:c>
      <x:c r="N73" s="39"/>
      <x:c r="O73" s="41"/>
      <x:c r="P73" s="43"/>
      <x:c r="Q73" s="43"/>
      <x:c r="R73" s="29" t="str">
        <x:v>S13-S14</x:v>
      </x:c>
      <x:c r="S73" s="39" t="str">
        <x:v>Proposed target paths; no repository implementation inspected. Completion requires linked evidence.</x:v>
      </x:c>
      <x:c r="T73" s="29" t="str">
        <x:f>IF(I73="Done",IF(N73="","MISSING EVIDENCE","Review evidence"),"Pending")</x:f>
        <x:v>Pending</x:v>
      </x:c>
      <x:c r="U73" s="29" t="str">
        <x:f>IF(AND(Q73&lt;&gt;"",Q73&lt;TODAY(),I73&lt;&gt;"Done"),"OVERDUE","")</x:f>
      </x:c>
    </x:row>
    <x:row r="74" ht="74" customHeight="1">
      <x:c r="A74" s="29" t="str">
        <x:v>TGM-008</x:v>
      </x:c>
      <x:c r="B74" s="29" t="str">
        <x:v>Telegram and channel expansion</x:v>
      </x:c>
      <x:c r="C74" s="29" t="str">
        <x:v>Web chat and future channels</x:v>
      </x:c>
      <x:c r="D74" s="29" t="str">
        <x:v>G2</x:v>
      </x:c>
      <x:c r="E74" s="29" t="str">
        <x:v>P1</x:v>
      </x:c>
      <x:c r="F74" s="29" t="str">
        <x:v>Channels</x:v>
      </x:c>
      <x:c r="G74" s="39"/>
      <x:c r="H74" s="29" t="str">
        <x:v>EVT-003</x:v>
      </x:c>
      <x:c r="I74" s="39" t="str">
        <x:v>Not started</x:v>
      </x:c>
      <x:c r="J74" s="33" t="n">
        <x:f>IF(AND(I74="Done",N74&lt;&gt;""),1,0)</x:f>
        <x:v>0</x:v>
      </x:c>
      <x:c r="K74" s="29" t="str">
        <x:v>First-party chat works end-to-end; LINE/Viber/WeChat/Slack/Teams adapters require official API certification.</x:v>
      </x:c>
      <x:c r="L74" s="29" t="str">
        <x:v>packages/channel-sdk/telegram/; packages/channel-sdk/ (proposed)</x:v>
      </x:c>
      <x:c r="M74" s="29" t="str">
        <x:v>AT-TGM-008</x:v>
      </x:c>
      <x:c r="N74" s="39"/>
      <x:c r="O74" s="41"/>
      <x:c r="P74" s="43"/>
      <x:c r="Q74" s="43"/>
      <x:c r="R74" s="29" t="str">
        <x:v>S13-S14</x:v>
      </x:c>
      <x:c r="S74" s="39" t="str">
        <x:v>Proposed target paths; no repository implementation inspected. Completion requires linked evidence.</x:v>
      </x:c>
      <x:c r="T74" s="29" t="str">
        <x:f>IF(I74="Done",IF(N74="","MISSING EVIDENCE","Review evidence"),"Pending")</x:f>
        <x:v>Pending</x:v>
      </x:c>
      <x:c r="U74" s="29" t="str">
        <x:f>IF(AND(Q74&lt;&gt;"",Q74&lt;TODAY(),I74&lt;&gt;"Done"),"OVERDUE","")</x:f>
      </x:c>
    </x:row>
    <x:row r="75" ht="74" customHeight="1">
      <x:c r="A75" s="29" t="str">
        <x:v>MSG-001</x:v>
      </x:c>
      <x:c r="B75" s="29" t="str">
        <x:v>Messaging and unified inbox</x:v>
      </x:c>
      <x:c r="C75" s="29" t="str">
        <x:v>Outbound acceptance API</x:v>
      </x:c>
      <x:c r="D75" s="29" t="str">
        <x:v>G1</x:v>
      </x:c>
      <x:c r="E75" s="29" t="str">
        <x:v>P0</x:v>
      </x:c>
      <x:c r="F75" s="29" t="str">
        <x:v>Messaging</x:v>
      </x:c>
      <x:c r="G75" s="39"/>
      <x:c r="H75" s="29" t="str">
        <x:v>DAT-002, EVT-009, WHA-003</x:v>
      </x:c>
      <x:c r="I75" s="39" t="str">
        <x:v>Not started</x:v>
      </x:c>
      <x:c r="J75" s="33" t="n">
        <x:f>IF(AND(I75="Done",N75&lt;&gt;""),1,0)</x:f>
        <x:v>0</x:v>
      </x:c>
      <x:c r="K75" s="29" t="str">
        <x:v>202 means durable queued command only; idempotency conflicts return 409.</x:v>
      </x:c>
      <x:c r="L75" s="29" t="str">
        <x:v>services/messaging/; services/realtime/ (proposed)</x:v>
      </x:c>
      <x:c r="M75" s="29" t="str">
        <x:v>AT-MSG-001</x:v>
      </x:c>
      <x:c r="N75" s="39"/>
      <x:c r="O75" s="41"/>
      <x:c r="P75" s="43"/>
      <x:c r="Q75" s="43"/>
      <x:c r="R75" s="29" t="str">
        <x:v>S01,S17</x:v>
      </x:c>
      <x:c r="S75" s="39" t="str">
        <x:v>Proposed target paths; no repository implementation inspected. Completion requires linked evidence.</x:v>
      </x:c>
      <x:c r="T75" s="29" t="str">
        <x:f>IF(I75="Done",IF(N75="","MISSING EVIDENCE","Review evidence"),"Pending")</x:f>
        <x:v>Pending</x:v>
      </x:c>
      <x:c r="U75" s="29" t="str">
        <x:f>IF(AND(Q75&lt;&gt;"",Q75&lt;TODAY(),I75&lt;&gt;"Done"),"OVERDUE","")</x:f>
      </x:c>
    </x:row>
    <x:row r="76" ht="74" customHeight="1">
      <x:c r="A76" s="29" t="str">
        <x:v>MSG-002</x:v>
      </x:c>
      <x:c r="B76" s="29" t="str">
        <x:v>Messaging and unified inbox</x:v>
      </x:c>
      <x:c r="C76" s="29" t="str">
        <x:v>Action admission and sender scheduler</x:v>
      </x:c>
      <x:c r="D76" s="29" t="str">
        <x:v>G1</x:v>
      </x:c>
      <x:c r="E76" s="29" t="str">
        <x:v>P0</x:v>
      </x:c>
      <x:c r="F76" s="29" t="str">
        <x:v>Messaging</x:v>
      </x:c>
      <x:c r="G76" s="39"/>
      <x:c r="H76" s="29" t="str">
        <x:v>DAT-002, EVT-009, WHA-003</x:v>
      </x:c>
      <x:c r="I76" s="39" t="str">
        <x:v>Not started</x:v>
      </x:c>
      <x:c r="J76" s="33" t="n">
        <x:f>IF(AND(I76="Done",N76&lt;&gt;""),1,0)</x:f>
        <x:v>0</x:v>
      </x:c>
      <x:c r="K76" s="29" t="str">
        <x:v>Capability, consent, policy, budget, sender and recipient limits are enforced at execution time.</x:v>
      </x:c>
      <x:c r="L76" s="29" t="str">
        <x:v>services/messaging/; services/realtime/ (proposed)</x:v>
      </x:c>
      <x:c r="M76" s="29" t="str">
        <x:v>AT-MSG-002</x:v>
      </x:c>
      <x:c r="N76" s="39"/>
      <x:c r="O76" s="41"/>
      <x:c r="P76" s="43"/>
      <x:c r="Q76" s="43"/>
      <x:c r="R76" s="29" t="str">
        <x:v>S01,S17</x:v>
      </x:c>
      <x:c r="S76" s="39" t="str">
        <x:v>Proposed target paths; no repository implementation inspected. Completion requires linked evidence.</x:v>
      </x:c>
      <x:c r="T76" s="29" t="str">
        <x:f>IF(I76="Done",IF(N76="","MISSING EVIDENCE","Review evidence"),"Pending")</x:f>
        <x:v>Pending</x:v>
      </x:c>
      <x:c r="U76" s="29" t="str">
        <x:f>IF(AND(Q76&lt;&gt;"",Q76&lt;TODAY(),I76&lt;&gt;"Done"),"OVERDUE","")</x:f>
      </x:c>
    </x:row>
    <x:row r="77" ht="74" customHeight="1">
      <x:c r="A77" s="29" t="str">
        <x:v>MSG-003</x:v>
      </x:c>
      <x:c r="B77" s="29" t="str">
        <x:v>Messaging and unified inbox</x:v>
      </x:c>
      <x:c r="C77" s="29" t="str">
        <x:v>Provider timeout reconciliation</x:v>
      </x:c>
      <x:c r="D77" s="29" t="str">
        <x:v>G1</x:v>
      </x:c>
      <x:c r="E77" s="29" t="str">
        <x:v>P0</x:v>
      </x:c>
      <x:c r="F77" s="29" t="str">
        <x:v>Messaging</x:v>
      </x:c>
      <x:c r="G77" s="39"/>
      <x:c r="H77" s="29" t="str">
        <x:v>DAT-002, EVT-009, WHA-003</x:v>
      </x:c>
      <x:c r="I77" s="39" t="str">
        <x:v>Not started</x:v>
      </x:c>
      <x:c r="J77" s="33" t="n">
        <x:f>IF(AND(I77="Done",N77&lt;&gt;""),1,0)</x:f>
        <x:v>0</x:v>
      </x:c>
      <x:c r="K77" s="29" t="str">
        <x:v>Timeout after request write enters UNKNOWN; non-idempotent send is not blindly retried.</x:v>
      </x:c>
      <x:c r="L77" s="29" t="str">
        <x:v>services/messaging/; services/realtime/ (proposed)</x:v>
      </x:c>
      <x:c r="M77" s="29" t="str">
        <x:v>AT-MSG-003</x:v>
      </x:c>
      <x:c r="N77" s="39"/>
      <x:c r="O77" s="41"/>
      <x:c r="P77" s="43"/>
      <x:c r="Q77" s="43"/>
      <x:c r="R77" s="29" t="str">
        <x:v>S01,S17</x:v>
      </x:c>
      <x:c r="S77" s="39" t="str">
        <x:v>Proposed target paths; no repository implementation inspected. Completion requires linked evidence.</x:v>
      </x:c>
      <x:c r="T77" s="29" t="str">
        <x:f>IF(I77="Done",IF(N77="","MISSING EVIDENCE","Review evidence"),"Pending")</x:f>
        <x:v>Pending</x:v>
      </x:c>
      <x:c r="U77" s="29" t="str">
        <x:f>IF(AND(Q77&lt;&gt;"",Q77&lt;TODAY(),I77&lt;&gt;"Done"),"OVERDUE","")</x:f>
      </x:c>
    </x:row>
    <x:row r="78" ht="74" customHeight="1">
      <x:c r="A78" s="29" t="str">
        <x:v>MSG-004</x:v>
      </x:c>
      <x:c r="B78" s="29" t="str">
        <x:v>Messaging and unified inbox</x:v>
      </x:c>
      <x:c r="C78" s="29" t="str">
        <x:v>Provider message status mapping</x:v>
      </x:c>
      <x:c r="D78" s="29" t="str">
        <x:v>G1</x:v>
      </x:c>
      <x:c r="E78" s="29" t="str">
        <x:v>P0</x:v>
      </x:c>
      <x:c r="F78" s="29" t="str">
        <x:v>Messaging</x:v>
      </x:c>
      <x:c r="G78" s="39"/>
      <x:c r="H78" s="29" t="str">
        <x:v>DAT-002, EVT-009, WHA-003, ACT-002</x:v>
      </x:c>
      <x:c r="I78" s="39" t="str">
        <x:v>Not started</x:v>
      </x:c>
      <x:c r="J78" s="33" t="n">
        <x:f>IF(AND(I78="Done",N78&lt;&gt;""),1,0)</x:f>
        <x:v>0</x:v>
      </x:c>
      <x:c r="K78" s="29" t="str">
        <x:v>Provider acceptance, sent, delivered, read and failed remain distinct evidence states.</x:v>
      </x:c>
      <x:c r="L78" s="29" t="str">
        <x:v>services/messaging/; services/realtime/ (proposed)</x:v>
      </x:c>
      <x:c r="M78" s="29" t="str">
        <x:v>AT-MSG-004</x:v>
      </x:c>
      <x:c r="N78" s="39"/>
      <x:c r="O78" s="41"/>
      <x:c r="P78" s="43"/>
      <x:c r="Q78" s="43"/>
      <x:c r="R78" s="29" t="str">
        <x:v>S01,S17</x:v>
      </x:c>
      <x:c r="S78" s="39" t="str">
        <x:v>Proposed target paths; no repository implementation inspected. Completion requires linked evidence.</x:v>
      </x:c>
      <x:c r="T78" s="29" t="str">
        <x:f>IF(I78="Done",IF(N78="","MISSING EVIDENCE","Review evidence"),"Pending")</x:f>
        <x:v>Pending</x:v>
      </x:c>
      <x:c r="U78" s="29" t="str">
        <x:f>IF(AND(Q78&lt;&gt;"",Q78&lt;TODAY(),I78&lt;&gt;"Done"),"OVERDUE","")</x:f>
      </x:c>
    </x:row>
    <x:row r="79" ht="74" customHeight="1">
      <x:c r="A79" s="29" t="str">
        <x:v>MSG-005</x:v>
      </x:c>
      <x:c r="B79" s="29" t="str">
        <x:v>Messaging and unified inbox</x:v>
      </x:c>
      <x:c r="C79" s="29" t="str">
        <x:v>Unified inbox timelines</x:v>
      </x:c>
      <x:c r="D79" s="29" t="str">
        <x:v>G1</x:v>
      </x:c>
      <x:c r="E79" s="29" t="str">
        <x:v>P0</x:v>
      </x:c>
      <x:c r="F79" s="29" t="str">
        <x:v>Messaging</x:v>
      </x:c>
      <x:c r="G79" s="39"/>
      <x:c r="H79" s="29" t="str">
        <x:v>DAT-002, EVT-009, WHA-003</x:v>
      </x:c>
      <x:c r="I79" s="39" t="str">
        <x:v>Not started</x:v>
      </x:c>
      <x:c r="J79" s="33" t="n">
        <x:f>IF(AND(I79="Done",N79&lt;&gt;""),1,0)</x:f>
        <x:v>0</x:v>
      </x:c>
      <x:c r="K79" s="29" t="str">
        <x:v>Inbound and outbound messages merge under correct channel identity with stable pagination.</x:v>
      </x:c>
      <x:c r="L79" s="29" t="str">
        <x:v>services/messaging/; services/realtime/ (proposed)</x:v>
      </x:c>
      <x:c r="M79" s="29" t="str">
        <x:v>AT-MSG-005</x:v>
      </x:c>
      <x:c r="N79" s="39"/>
      <x:c r="O79" s="41"/>
      <x:c r="P79" s="43"/>
      <x:c r="Q79" s="43"/>
      <x:c r="R79" s="29" t="str">
        <x:v>S01,S17</x:v>
      </x:c>
      <x:c r="S79" s="39" t="str">
        <x:v>Proposed target paths; no repository implementation inspected. Completion requires linked evidence.</x:v>
      </x:c>
      <x:c r="T79" s="29" t="str">
        <x:f>IF(I79="Done",IF(N79="","MISSING EVIDENCE","Review evidence"),"Pending")</x:f>
        <x:v>Pending</x:v>
      </x:c>
      <x:c r="U79" s="29" t="str">
        <x:f>IF(AND(Q79&lt;&gt;"",Q79&lt;TODAY(),I79&lt;&gt;"Done"),"OVERDUE","")</x:f>
      </x:c>
    </x:row>
    <x:row r="80" ht="74" customHeight="1">
      <x:c r="A80" s="29" t="str">
        <x:v>MSG-006</x:v>
      </x:c>
      <x:c r="B80" s="29" t="str">
        <x:v>Messaging and unified inbox</x:v>
      </x:c>
      <x:c r="C80" s="29" t="str">
        <x:v>Realtime updates and reconnect</x:v>
      </x:c>
      <x:c r="D80" s="29" t="str">
        <x:v>G1</x:v>
      </x:c>
      <x:c r="E80" s="29" t="str">
        <x:v>P0</x:v>
      </x:c>
      <x:c r="F80" s="29" t="str">
        <x:v>Messaging</x:v>
      </x:c>
      <x:c r="G80" s="39"/>
      <x:c r="H80" s="29" t="str">
        <x:v>DAT-002, EVT-009, WHA-003</x:v>
      </x:c>
      <x:c r="I80" s="39" t="str">
        <x:v>Not started</x:v>
      </x:c>
      <x:c r="J80" s="33" t="n">
        <x:f>IF(AND(I80="Done",N80&lt;&gt;""),1,0)</x:f>
        <x:v>0</x:v>
      </x:c>
      <x:c r="K80" s="29" t="str">
        <x:v>Reconnect fetches missed durable state using cursor; socket ACK is not a delivery receipt.</x:v>
      </x:c>
      <x:c r="L80" s="29" t="str">
        <x:v>services/messaging/; services/realtime/ (proposed)</x:v>
      </x:c>
      <x:c r="M80" s="29" t="str">
        <x:v>AT-MSG-006</x:v>
      </x:c>
      <x:c r="N80" s="39"/>
      <x:c r="O80" s="41"/>
      <x:c r="P80" s="43"/>
      <x:c r="Q80" s="43"/>
      <x:c r="R80" s="29" t="str">
        <x:v>S01,S17</x:v>
      </x:c>
      <x:c r="S80" s="39" t="str">
        <x:v>Proposed target paths; no repository implementation inspected. Completion requires linked evidence.</x:v>
      </x:c>
      <x:c r="T80" s="29" t="str">
        <x:f>IF(I80="Done",IF(N80="","MISSING EVIDENCE","Review evidence"),"Pending")</x:f>
        <x:v>Pending</x:v>
      </x:c>
      <x:c r="U80" s="29" t="str">
        <x:f>IF(AND(Q80&lt;&gt;"",Q80&lt;TODAY(),I80&lt;&gt;"Done"),"OVERDUE","")</x:f>
      </x:c>
    </x:row>
    <x:row r="81" ht="74" customHeight="1">
      <x:c r="A81" s="29" t="str">
        <x:v>MSG-007</x:v>
      </x:c>
      <x:c r="B81" s="29" t="str">
        <x:v>Messaging and unified inbox</x:v>
      </x:c>
      <x:c r="C81" s="29" t="str">
        <x:v>Assignment and agent-bot ownership</x:v>
      </x:c>
      <x:c r="D81" s="29" t="str">
        <x:v>G1</x:v>
      </x:c>
      <x:c r="E81" s="29" t="str">
        <x:v>P0</x:v>
      </x:c>
      <x:c r="F81" s="29" t="str">
        <x:v>Messaging</x:v>
      </x:c>
      <x:c r="G81" s="39"/>
      <x:c r="H81" s="29" t="str">
        <x:v>DAT-002, EVT-009, WHA-003</x:v>
      </x:c>
      <x:c r="I81" s="39" t="str">
        <x:v>Not started</x:v>
      </x:c>
      <x:c r="J81" s="33" t="n">
        <x:f>IF(AND(I81="Done",N81&lt;&gt;""),1,0)</x:f>
        <x:v>0</x:v>
      </x:c>
      <x:c r="K81" s="29" t="str">
        <x:v>Concurrent human/AI replies are controlled by conversation ownership epoch and leases.</x:v>
      </x:c>
      <x:c r="L81" s="29" t="str">
        <x:v>services/messaging/; services/realtime/ (proposed)</x:v>
      </x:c>
      <x:c r="M81" s="29" t="str">
        <x:v>AT-MSG-007</x:v>
      </x:c>
      <x:c r="N81" s="39"/>
      <x:c r="O81" s="41"/>
      <x:c r="P81" s="43"/>
      <x:c r="Q81" s="43"/>
      <x:c r="R81" s="29" t="str">
        <x:v>S01,S17</x:v>
      </x:c>
      <x:c r="S81" s="39" t="str">
        <x:v>Proposed target paths; no repository implementation inspected. Completion requires linked evidence.</x:v>
      </x:c>
      <x:c r="T81" s="29" t="str">
        <x:f>IF(I81="Done",IF(N81="","MISSING EVIDENCE","Review evidence"),"Pending")</x:f>
        <x:v>Pending</x:v>
      </x:c>
      <x:c r="U81" s="29" t="str">
        <x:f>IF(AND(Q81&lt;&gt;"",Q81&lt;TODAY(),I81&lt;&gt;"Done"),"OVERDUE","")</x:f>
      </x:c>
    </x:row>
    <x:row r="82" ht="74" customHeight="1">
      <x:c r="A82" s="29" t="str">
        <x:v>MSG-008</x:v>
      </x:c>
      <x:c r="B82" s="29" t="str">
        <x:v>Messaging and unified inbox</x:v>
      </x:c>
      <x:c r="C82" s="29" t="str">
        <x:v>Queues, routing and SLAs</x:v>
      </x:c>
      <x:c r="D82" s="29" t="str">
        <x:v>G1</x:v>
      </x:c>
      <x:c r="E82" s="29" t="str">
        <x:v>P0</x:v>
      </x:c>
      <x:c r="F82" s="29" t="str">
        <x:v>Messaging</x:v>
      </x:c>
      <x:c r="G82" s="39"/>
      <x:c r="H82" s="29" t="str">
        <x:v>DAT-002, EVT-009, WHA-003</x:v>
      </x:c>
      <x:c r="I82" s="39" t="str">
        <x:v>Not started</x:v>
      </x:c>
      <x:c r="J82" s="33" t="n">
        <x:f>IF(AND(I82="Done",N82&lt;&gt;""),1,0)</x:f>
        <x:v>0</x:v>
      </x:c>
      <x:c r="K82" s="29" t="str">
        <x:v>Round-robin, skills, availability, business hours and escalations behave deterministically.</x:v>
      </x:c>
      <x:c r="L82" s="29" t="str">
        <x:v>services/messaging/; services/realtime/ (proposed)</x:v>
      </x:c>
      <x:c r="M82" s="29" t="str">
        <x:v>AT-MSG-008</x:v>
      </x:c>
      <x:c r="N82" s="39"/>
      <x:c r="O82" s="41"/>
      <x:c r="P82" s="43"/>
      <x:c r="Q82" s="43"/>
      <x:c r="R82" s="29" t="str">
        <x:v>S01,S17</x:v>
      </x:c>
      <x:c r="S82" s="39" t="str">
        <x:v>Proposed target paths; no repository implementation inspected. Completion requires linked evidence.</x:v>
      </x:c>
      <x:c r="T82" s="29" t="str">
        <x:f>IF(I82="Done",IF(N82="","MISSING EVIDENCE","Review evidence"),"Pending")</x:f>
        <x:v>Pending</x:v>
      </x:c>
      <x:c r="U82" s="29" t="str">
        <x:f>IF(AND(Q82&lt;&gt;"",Q82&lt;TODAY(),I82&lt;&gt;"Done"),"OVERDUE","")</x:f>
      </x:c>
    </x:row>
    <x:row r="83" ht="74" customHeight="1">
      <x:c r="A83" s="29" t="str">
        <x:v>MSG-009</x:v>
      </x:c>
      <x:c r="B83" s="29" t="str">
        <x:v>Messaging and unified inbox</x:v>
      </x:c>
      <x:c r="C83" s="29" t="str">
        <x:v>Notes, mentions and saved replies</x:v>
      </x:c>
      <x:c r="D83" s="29" t="str">
        <x:v>G1</x:v>
      </x:c>
      <x:c r="E83" s="29" t="str">
        <x:v>P0</x:v>
      </x:c>
      <x:c r="F83" s="29" t="str">
        <x:v>Messaging</x:v>
      </x:c>
      <x:c r="G83" s="39"/>
      <x:c r="H83" s="29" t="str">
        <x:v>DAT-002, EVT-009, WHA-003</x:v>
      </x:c>
      <x:c r="I83" s="39" t="str">
        <x:v>Not started</x:v>
      </x:c>
      <x:c r="J83" s="33" t="n">
        <x:f>IF(AND(I83="Done",N83&lt;&gt;""),1,0)</x:f>
        <x:v>0</x:v>
      </x:c>
      <x:c r="K83" s="29" t="str">
        <x:v>Internal-only data never leaves the tenant or becomes a customer-facing message accidentally.</x:v>
      </x:c>
      <x:c r="L83" s="29" t="str">
        <x:v>services/messaging/; services/realtime/ (proposed)</x:v>
      </x:c>
      <x:c r="M83" s="29" t="str">
        <x:v>AT-MSG-009</x:v>
      </x:c>
      <x:c r="N83" s="39"/>
      <x:c r="O83" s="41"/>
      <x:c r="P83" s="43"/>
      <x:c r="Q83" s="43"/>
      <x:c r="R83" s="29" t="str">
        <x:v>S01,S17</x:v>
      </x:c>
      <x:c r="S83" s="39" t="str">
        <x:v>Proposed target paths; no repository implementation inspected. Completion requires linked evidence.</x:v>
      </x:c>
      <x:c r="T83" s="29" t="str">
        <x:f>IF(I83="Done",IF(N83="","MISSING EVIDENCE","Review evidence"),"Pending")</x:f>
        <x:v>Pending</x:v>
      </x:c>
      <x:c r="U83" s="29" t="str">
        <x:f>IF(AND(Q83&lt;&gt;"",Q83&lt;TODAY(),I83&lt;&gt;"Done"),"OVERDUE","")</x:f>
      </x:c>
    </x:row>
    <x:row r="84" ht="74" customHeight="1">
      <x:c r="A84" s="29" t="str">
        <x:v>MSG-010</x:v>
      </x:c>
      <x:c r="B84" s="29" t="str">
        <x:v>Messaging and unified inbox</x:v>
      </x:c>
      <x:c r="C84" s="29" t="str">
        <x:v>Rich media and attachments</x:v>
      </x:c>
      <x:c r="D84" s="29" t="str">
        <x:v>G1</x:v>
      </x:c>
      <x:c r="E84" s="29" t="str">
        <x:v>P0</x:v>
      </x:c>
      <x:c r="F84" s="29" t="str">
        <x:v>Messaging</x:v>
      </x:c>
      <x:c r="G84" s="39"/>
      <x:c r="H84" s="29" t="str">
        <x:v>DAT-002, EVT-009, WHA-003</x:v>
      </x:c>
      <x:c r="I84" s="39" t="str">
        <x:v>Not started</x:v>
      </x:c>
      <x:c r="J84" s="33" t="n">
        <x:f>IF(AND(I84="Done",N84&lt;&gt;""),1,0)</x:f>
        <x:v>0</x:v>
      </x:c>
      <x:c r="K84" s="29" t="str">
        <x:v>Type/size validation, scanning and authorization precede send or display.</x:v>
      </x:c>
      <x:c r="L84" s="29" t="str">
        <x:v>services/messaging/; services/realtime/ (proposed)</x:v>
      </x:c>
      <x:c r="M84" s="29" t="str">
        <x:v>AT-MSG-010</x:v>
      </x:c>
      <x:c r="N84" s="39"/>
      <x:c r="O84" s="41"/>
      <x:c r="P84" s="43"/>
      <x:c r="Q84" s="43"/>
      <x:c r="R84" s="29" t="str">
        <x:v>S01,S17</x:v>
      </x:c>
      <x:c r="S84" s="39" t="str">
        <x:v>Proposed target paths; no repository implementation inspected. Completion requires linked evidence.</x:v>
      </x:c>
      <x:c r="T84" s="29" t="str">
        <x:f>IF(I84="Done",IF(N84="","MISSING EVIDENCE","Review evidence"),"Pending")</x:f>
        <x:v>Pending</x:v>
      </x:c>
      <x:c r="U84" s="29" t="str">
        <x:f>IF(AND(Q84&lt;&gt;"",Q84&lt;TODAY(),I84&lt;&gt;"Done"),"OVERDUE","")</x:f>
      </x:c>
    </x:row>
    <x:row r="85" ht="74" customHeight="1">
      <x:c r="A85" s="29" t="str">
        <x:v>MSG-011</x:v>
      </x:c>
      <x:c r="B85" s="29" t="str">
        <x:v>Messaging and unified inbox</x:v>
      </x:c>
      <x:c r="C85" s="29" t="str">
        <x:v>Search, filters and customer context</x:v>
      </x:c>
      <x:c r="D85" s="29" t="str">
        <x:v>G1</x:v>
      </x:c>
      <x:c r="E85" s="29" t="str">
        <x:v>P0</x:v>
      </x:c>
      <x:c r="F85" s="29" t="str">
        <x:v>Messaging</x:v>
      </x:c>
      <x:c r="G85" s="39"/>
      <x:c r="H85" s="29" t="str">
        <x:v>DAT-002, EVT-009, WHA-003</x:v>
      </x:c>
      <x:c r="I85" s="39" t="str">
        <x:v>Not started</x:v>
      </x:c>
      <x:c r="J85" s="33" t="n">
        <x:f>IF(AND(I85="Done",N85&lt;&gt;""),1,0)</x:f>
        <x:v>0</x:v>
      </x:c>
      <x:c r="K85" s="29" t="str">
        <x:v>Permission-aware query/filter/export cannot escape assigned tenant/workspace scope.</x:v>
      </x:c>
      <x:c r="L85" s="29" t="str">
        <x:v>services/messaging/; services/realtime/ (proposed)</x:v>
      </x:c>
      <x:c r="M85" s="29" t="str">
        <x:v>AT-MSG-011</x:v>
      </x:c>
      <x:c r="N85" s="39"/>
      <x:c r="O85" s="41"/>
      <x:c r="P85" s="43"/>
      <x:c r="Q85" s="43"/>
      <x:c r="R85" s="29" t="str">
        <x:v>S01,S17</x:v>
      </x:c>
      <x:c r="S85" s="39" t="str">
        <x:v>Proposed target paths; no repository implementation inspected. Completion requires linked evidence.</x:v>
      </x:c>
      <x:c r="T85" s="29" t="str">
        <x:f>IF(I85="Done",IF(N85="","MISSING EVIDENCE","Review evidence"),"Pending")</x:f>
        <x:v>Pending</x:v>
      </x:c>
      <x:c r="U85" s="29" t="str">
        <x:f>IF(AND(Q85&lt;&gt;"",Q85&lt;TODAY(),I85&lt;&gt;"Done"),"OVERDUE","")</x:f>
      </x:c>
    </x:row>
    <x:row r="86" ht="74" customHeight="1">
      <x:c r="A86" s="29" t="str">
        <x:v>MSG-012</x:v>
      </x:c>
      <x:c r="B86" s="29" t="str">
        <x:v>Messaging and unified inbox</x:v>
      </x:c>
      <x:c r="C86" s="29" t="str">
        <x:v>Opt-out and contact suppression</x:v>
      </x:c>
      <x:c r="D86" s="29" t="str">
        <x:v>G1</x:v>
      </x:c>
      <x:c r="E86" s="29" t="str">
        <x:v>P0</x:v>
      </x:c>
      <x:c r="F86" s="29" t="str">
        <x:v>Messaging</x:v>
      </x:c>
      <x:c r="G86" s="39"/>
      <x:c r="H86" s="29" t="str">
        <x:v>DAT-002, EVT-009, WHA-003</x:v>
      </x:c>
      <x:c r="I86" s="39" t="str">
        <x:v>Not started</x:v>
      </x:c>
      <x:c r="J86" s="33" t="n">
        <x:f>IF(AND(I86="Done",N86&lt;&gt;""),1,0)</x:f>
        <x:v>0</x:v>
      </x:c>
      <x:c r="K86" s="29" t="str">
        <x:v>Opt-out cancels pending marketing work and produces an auditable policy change.</x:v>
      </x:c>
      <x:c r="L86" s="29" t="str">
        <x:v>services/messaging/; services/realtime/ (proposed)</x:v>
      </x:c>
      <x:c r="M86" s="29" t="str">
        <x:v>AT-MSG-012</x:v>
      </x:c>
      <x:c r="N86" s="39"/>
      <x:c r="O86" s="41"/>
      <x:c r="P86" s="43"/>
      <x:c r="Q86" s="43"/>
      <x:c r="R86" s="29" t="str">
        <x:v>S01,S17</x:v>
      </x:c>
      <x:c r="S86" s="39" t="str">
        <x:v>Proposed target paths; no repository implementation inspected. Completion requires linked evidence.</x:v>
      </x:c>
      <x:c r="T86" s="29" t="str">
        <x:f>IF(I86="Done",IF(N86="","MISSING EVIDENCE","Review evidence"),"Pending")</x:f>
        <x:v>Pending</x:v>
      </x:c>
      <x:c r="U86" s="29" t="str">
        <x:f>IF(AND(Q86&lt;&gt;"",Q86&lt;TODAY(),I86&lt;&gt;"Done"),"OVERDUE","")</x:f>
      </x:c>
    </x:row>
    <x:row r="87" ht="74" customHeight="1">
      <x:c r="A87" s="29" t="str">
        <x:v>WHK-001</x:v>
      </x:c>
      <x:c r="B87" s="29" t="str">
        <x:v>Customer webhooks</x:v>
      </x:c>
      <x:c r="C87" s="29" t="str">
        <x:v>Webhook endpoint lifecycle</x:v>
      </x:c>
      <x:c r="D87" s="29" t="str">
        <x:v>G1</x:v>
      </x:c>
      <x:c r="E87" s="29" t="str">
        <x:v>P0</x:v>
      </x:c>
      <x:c r="F87" s="29" t="str">
        <x:v>Integrations</x:v>
      </x:c>
      <x:c r="G87" s="39"/>
      <x:c r="H87" s="29" t="str">
        <x:v>EVT-002, PLT-008</x:v>
      </x:c>
      <x:c r="I87" s="39" t="str">
        <x:v>Not started</x:v>
      </x:c>
      <x:c r="J87" s="33" t="n">
        <x:f>IF(AND(I87="Done",N87&lt;&gt;""),1,0)</x:f>
        <x:v>0</x:v>
      </x:c>
      <x:c r="K87" s="29" t="str">
        <x:v>Create/update/delete/disable/test verifies tenant authority and destination safety.</x:v>
      </x:c>
      <x:c r="L87" s="29" t="str">
        <x:v>services/webhook-dispatcher/ (proposed)</x:v>
      </x:c>
      <x:c r="M87" s="29" t="str">
        <x:v>AT-WHK-001</x:v>
      </x:c>
      <x:c r="N87" s="39"/>
      <x:c r="O87" s="41"/>
      <x:c r="P87" s="43"/>
      <x:c r="Q87" s="43"/>
      <x:c r="R87" s="29" t="str">
        <x:v>S31</x:v>
      </x:c>
      <x:c r="S87" s="39" t="str">
        <x:v>Proposed target paths; no repository implementation inspected. Completion requires linked evidence.</x:v>
      </x:c>
      <x:c r="T87" s="29" t="str">
        <x:f>IF(I87="Done",IF(N87="","MISSING EVIDENCE","Review evidence"),"Pending")</x:f>
        <x:v>Pending</x:v>
      </x:c>
      <x:c r="U87" s="29" t="str">
        <x:f>IF(AND(Q87&lt;&gt;"",Q87&lt;TODAY(),I87&lt;&gt;"Done"),"OVERDUE","")</x:f>
      </x:c>
    </x:row>
    <x:row r="88" ht="74" customHeight="1">
      <x:c r="A88" s="29" t="str">
        <x:v>WHK-002</x:v>
      </x:c>
      <x:c r="B88" s="29" t="str">
        <x:v>Customer webhooks</x:v>
      </x:c>
      <x:c r="C88" s="29" t="str">
        <x:v>Event subscriptions and filters</x:v>
      </x:c>
      <x:c r="D88" s="29" t="str">
        <x:v>G1</x:v>
      </x:c>
      <x:c r="E88" s="29" t="str">
        <x:v>P0</x:v>
      </x:c>
      <x:c r="F88" s="29" t="str">
        <x:v>Integrations</x:v>
      </x:c>
      <x:c r="G88" s="39"/>
      <x:c r="H88" s="29" t="str">
        <x:v>EVT-002, PLT-008</x:v>
      </x:c>
      <x:c r="I88" s="39" t="str">
        <x:v>Not started</x:v>
      </x:c>
      <x:c r="J88" s="33" t="n">
        <x:f>IF(AND(I88="Done",N88&lt;&gt;""),1,0)</x:f>
        <x:v>0</x:v>
      </x:c>
      <x:c r="K88" s="29" t="str">
        <x:v>Only entitled, tenant-scoped event fields leave the platform.</x:v>
      </x:c>
      <x:c r="L88" s="29" t="str">
        <x:v>services/webhook-dispatcher/ (proposed)</x:v>
      </x:c>
      <x:c r="M88" s="29" t="str">
        <x:v>AT-WHK-002</x:v>
      </x:c>
      <x:c r="N88" s="39"/>
      <x:c r="O88" s="41"/>
      <x:c r="P88" s="43"/>
      <x:c r="Q88" s="43"/>
      <x:c r="R88" s="29" t="str">
        <x:v>S31</x:v>
      </x:c>
      <x:c r="S88" s="39" t="str">
        <x:v>Proposed target paths; no repository implementation inspected. Completion requires linked evidence.</x:v>
      </x:c>
      <x:c r="T88" s="29" t="str">
        <x:f>IF(I88="Done",IF(N88="","MISSING EVIDENCE","Review evidence"),"Pending")</x:f>
        <x:v>Pending</x:v>
      </x:c>
      <x:c r="U88" s="29" t="str">
        <x:f>IF(AND(Q88&lt;&gt;"",Q88&lt;TODAY(),I88&lt;&gt;"Done"),"OVERDUE","")</x:f>
      </x:c>
    </x:row>
    <x:row r="89" ht="74" customHeight="1">
      <x:c r="A89" s="29" t="str">
        <x:v>WHK-003</x:v>
      </x:c>
      <x:c r="B89" s="29" t="str">
        <x:v>Customer webhooks</x:v>
      </x:c>
      <x:c r="C89" s="29" t="str">
        <x:v>HMAC signing and secret rotation</x:v>
      </x:c>
      <x:c r="D89" s="29" t="str">
        <x:v>G1</x:v>
      </x:c>
      <x:c r="E89" s="29" t="str">
        <x:v>P0</x:v>
      </x:c>
      <x:c r="F89" s="29" t="str">
        <x:v>Integrations</x:v>
      </x:c>
      <x:c r="G89" s="39"/>
      <x:c r="H89" s="29" t="str">
        <x:v>EVT-002, PLT-008</x:v>
      </x:c>
      <x:c r="I89" s="39" t="str">
        <x:v>Not started</x:v>
      </x:c>
      <x:c r="J89" s="33" t="n">
        <x:f>IF(AND(I89="Done",N89&lt;&gt;""),1,0)</x:f>
        <x:v>0</x:v>
      </x:c>
      <x:c r="K89" s="29" t="str">
        <x:v>Signing covers delivery timestamp, stable event ID and exact body bytes; dual-key rotation is tested.</x:v>
      </x:c>
      <x:c r="L89" s="29" t="str">
        <x:v>services/webhook-dispatcher/ (proposed)</x:v>
      </x:c>
      <x:c r="M89" s="29" t="str">
        <x:v>AT-WHK-003</x:v>
      </x:c>
      <x:c r="N89" s="39"/>
      <x:c r="O89" s="41"/>
      <x:c r="P89" s="43"/>
      <x:c r="Q89" s="43"/>
      <x:c r="R89" s="29" t="str">
        <x:v>S31</x:v>
      </x:c>
      <x:c r="S89" s="39" t="str">
        <x:v>Proposed target paths; no repository implementation inspected. Completion requires linked evidence.</x:v>
      </x:c>
      <x:c r="T89" s="29" t="str">
        <x:f>IF(I89="Done",IF(N89="","MISSING EVIDENCE","Review evidence"),"Pending")</x:f>
        <x:v>Pending</x:v>
      </x:c>
      <x:c r="U89" s="29" t="str">
        <x:f>IF(AND(Q89&lt;&gt;"",Q89&lt;TODAY(),I89&lt;&gt;"Done"),"OVERDUE","")</x:f>
      </x:c>
    </x:row>
    <x:row r="90" ht="74" customHeight="1">
      <x:c r="A90" s="29" t="str">
        <x:v>WHK-004</x:v>
      </x:c>
      <x:c r="B90" s="29" t="str">
        <x:v>Customer webhooks</x:v>
      </x:c>
      <x:c r="C90" s="29" t="str">
        <x:v>Reliable endpoint delivery</x:v>
      </x:c>
      <x:c r="D90" s="29" t="str">
        <x:v>G1</x:v>
      </x:c>
      <x:c r="E90" s="29" t="str">
        <x:v>P0</x:v>
      </x:c>
      <x:c r="F90" s="29" t="str">
        <x:v>Integrations</x:v>
      </x:c>
      <x:c r="G90" s="39"/>
      <x:c r="H90" s="29" t="str">
        <x:v>EVT-002, PLT-008</x:v>
      </x:c>
      <x:c r="I90" s="39" t="str">
        <x:v>Not started</x:v>
      </x:c>
      <x:c r="J90" s="33" t="n">
        <x:f>IF(AND(I90="Done",N90&lt;&gt;""),1,0)</x:f>
        <x:v>0</x:v>
      </x:c>
      <x:c r="K90" s="29" t="str">
        <x:v>Per-endpoint ordering option, bounded concurrency and retry schedule survive receiver outages.</x:v>
      </x:c>
      <x:c r="L90" s="29" t="str">
        <x:v>services/webhook-dispatcher/ (proposed)</x:v>
      </x:c>
      <x:c r="M90" s="29" t="str">
        <x:v>AT-WHK-004</x:v>
      </x:c>
      <x:c r="N90" s="39"/>
      <x:c r="O90" s="41"/>
      <x:c r="P90" s="43"/>
      <x:c r="Q90" s="43"/>
      <x:c r="R90" s="29" t="str">
        <x:v>S31</x:v>
      </x:c>
      <x:c r="S90" s="39" t="str">
        <x:v>Proposed target paths; no repository implementation inspected. Completion requires linked evidence.</x:v>
      </x:c>
      <x:c r="T90" s="29" t="str">
        <x:f>IF(I90="Done",IF(N90="","MISSING EVIDENCE","Review evidence"),"Pending")</x:f>
        <x:v>Pending</x:v>
      </x:c>
      <x:c r="U90" s="29" t="str">
        <x:f>IF(AND(Q90&lt;&gt;"",Q90&lt;TODAY(),I90&lt;&gt;"Done"),"OVERDUE","")</x:f>
      </x:c>
    </x:row>
    <x:row r="91" ht="74" customHeight="1">
      <x:c r="A91" s="29" t="str">
        <x:v>WHK-005</x:v>
      </x:c>
      <x:c r="B91" s="29" t="str">
        <x:v>Customer webhooks</x:v>
      </x:c>
      <x:c r="C91" s="29" t="str">
        <x:v>Delivery and acknowledgement ledger</x:v>
      </x:c>
      <x:c r="D91" s="29" t="str">
        <x:v>G1</x:v>
      </x:c>
      <x:c r="E91" s="29" t="str">
        <x:v>P0</x:v>
      </x:c>
      <x:c r="F91" s="29" t="str">
        <x:v>Integrations</x:v>
      </x:c>
      <x:c r="G91" s="39"/>
      <x:c r="H91" s="29" t="str">
        <x:v>EVT-002, PLT-008</x:v>
      </x:c>
      <x:c r="I91" s="39" t="str">
        <x:v>Not started</x:v>
      </x:c>
      <x:c r="J91" s="33" t="n">
        <x:f>IF(AND(I91="Done",N91&lt;&gt;""),1,0)</x:f>
        <x:v>0</x:v>
      </x:c>
      <x:c r="K91" s="29" t="str">
        <x:v>2xx records endpoint acceptance only; attempts, status code and response summary remain available.</x:v>
      </x:c>
      <x:c r="L91" s="29" t="str">
        <x:v>services/webhook-dispatcher/ (proposed)</x:v>
      </x:c>
      <x:c r="M91" s="29" t="str">
        <x:v>AT-WHK-005</x:v>
      </x:c>
      <x:c r="N91" s="39"/>
      <x:c r="O91" s="41"/>
      <x:c r="P91" s="43"/>
      <x:c r="Q91" s="43"/>
      <x:c r="R91" s="29" t="str">
        <x:v>S31</x:v>
      </x:c>
      <x:c r="S91" s="39" t="str">
        <x:v>Proposed target paths; no repository implementation inspected. Completion requires linked evidence.</x:v>
      </x:c>
      <x:c r="T91" s="29" t="str">
        <x:f>IF(I91="Done",IF(N91="","MISSING EVIDENCE","Review evidence"),"Pending")</x:f>
        <x:v>Pending</x:v>
      </x:c>
      <x:c r="U91" s="29" t="str">
        <x:f>IF(AND(Q91&lt;&gt;"",Q91&lt;TODAY(),I91&lt;&gt;"Done"),"OVERDUE","")</x:f>
      </x:c>
    </x:row>
    <x:row r="92" ht="74" customHeight="1">
      <x:c r="A92" s="29" t="str">
        <x:v>WHK-006</x:v>
      </x:c>
      <x:c r="B92" s="29" t="str">
        <x:v>Customer webhooks</x:v>
      </x:c>
      <x:c r="C92" s="29" t="str">
        <x:v>Replay and dead-letter UI</x:v>
      </x:c>
      <x:c r="D92" s="29" t="str">
        <x:v>G1</x:v>
      </x:c>
      <x:c r="E92" s="29" t="str">
        <x:v>P0</x:v>
      </x:c>
      <x:c r="F92" s="29" t="str">
        <x:v>Integrations</x:v>
      </x:c>
      <x:c r="G92" s="39"/>
      <x:c r="H92" s="29" t="str">
        <x:v>EVT-002, PLT-008</x:v>
      </x:c>
      <x:c r="I92" s="39" t="str">
        <x:v>Not started</x:v>
      </x:c>
      <x:c r="J92" s="33" t="n">
        <x:f>IF(AND(I92="Done",N92&lt;&gt;""),1,0)</x:f>
        <x:v>0</x:v>
      </x:c>
      <x:c r="K92" s="29" t="str">
        <x:v>Replay retains event ID, creates new delivery ID and shows duplicate-processing warning.</x:v>
      </x:c>
      <x:c r="L92" s="29" t="str">
        <x:v>services/webhook-dispatcher/ (proposed)</x:v>
      </x:c>
      <x:c r="M92" s="29" t="str">
        <x:v>AT-WHK-006</x:v>
      </x:c>
      <x:c r="N92" s="39"/>
      <x:c r="O92" s="41"/>
      <x:c r="P92" s="43"/>
      <x:c r="Q92" s="43"/>
      <x:c r="R92" s="29" t="str">
        <x:v>S31</x:v>
      </x:c>
      <x:c r="S92" s="39" t="str">
        <x:v>Proposed target paths; no repository implementation inspected. Completion requires linked evidence.</x:v>
      </x:c>
      <x:c r="T92" s="29" t="str">
        <x:f>IF(I92="Done",IF(N92="","MISSING EVIDENCE","Review evidence"),"Pending")</x:f>
        <x:v>Pending</x:v>
      </x:c>
      <x:c r="U92" s="29" t="str">
        <x:f>IF(AND(Q92&lt;&gt;"",Q92&lt;TODAY(),I92&lt;&gt;"Done"),"OVERDUE","")</x:f>
      </x:c>
    </x:row>
    <x:row r="93" ht="74" customHeight="1">
      <x:c r="A93" s="29" t="str">
        <x:v>WHK-007</x:v>
      </x:c>
      <x:c r="B93" s="29" t="str">
        <x:v>Customer webhooks</x:v>
      </x:c>
      <x:c r="C93" s="29" t="str">
        <x:v>SSRF and egress isolation</x:v>
      </x:c>
      <x:c r="D93" s="29" t="str">
        <x:v>G1</x:v>
      </x:c>
      <x:c r="E93" s="29" t="str">
        <x:v>P0</x:v>
      </x:c>
      <x:c r="F93" s="29" t="str">
        <x:v>Integrations</x:v>
      </x:c>
      <x:c r="G93" s="39"/>
      <x:c r="H93" s="29" t="str">
        <x:v>EVT-002, PLT-008</x:v>
      </x:c>
      <x:c r="I93" s="39" t="str">
        <x:v>Not started</x:v>
      </x:c>
      <x:c r="J93" s="33" t="n">
        <x:f>IF(AND(I93="Done",N93&lt;&gt;""),1,0)</x:f>
        <x:v>0</x:v>
      </x:c>
      <x:c r="K93" s="29" t="str">
        <x:v>Private/link-local/metadata destinations and redirect/rebinding attacks are blocked.</x:v>
      </x:c>
      <x:c r="L93" s="29" t="str">
        <x:v>services/webhook-dispatcher/ (proposed)</x:v>
      </x:c>
      <x:c r="M93" s="29" t="str">
        <x:v>AT-WHK-007</x:v>
      </x:c>
      <x:c r="N93" s="39"/>
      <x:c r="O93" s="41"/>
      <x:c r="P93" s="43"/>
      <x:c r="Q93" s="43"/>
      <x:c r="R93" s="29" t="str">
        <x:v>S31</x:v>
      </x:c>
      <x:c r="S93" s="39" t="str">
        <x:v>Proposed target paths; no repository implementation inspected. Completion requires linked evidence.</x:v>
      </x:c>
      <x:c r="T93" s="29" t="str">
        <x:f>IF(I93="Done",IF(N93="","MISSING EVIDENCE","Review evidence"),"Pending")</x:f>
        <x:v>Pending</x:v>
      </x:c>
      <x:c r="U93" s="29" t="str">
        <x:f>IF(AND(Q93&lt;&gt;"",Q93&lt;TODAY(),I93&lt;&gt;"Done"),"OVERDUE","")</x:f>
      </x:c>
    </x:row>
    <x:row r="94" ht="74" customHeight="1">
      <x:c r="A94" s="29" t="str">
        <x:v>WHK-008</x:v>
      </x:c>
      <x:c r="B94" s="29" t="str">
        <x:v>Customer webhooks</x:v>
      </x:c>
      <x:c r="C94" s="29" t="str">
        <x:v>Inbound custom webhook triggers</x:v>
      </x:c>
      <x:c r="D94" s="29" t="str">
        <x:v>G1</x:v>
      </x:c>
      <x:c r="E94" s="29" t="str">
        <x:v>P0</x:v>
      </x:c>
      <x:c r="F94" s="29" t="str">
        <x:v>Integrations</x:v>
      </x:c>
      <x:c r="G94" s="39"/>
      <x:c r="H94" s="29" t="str">
        <x:v>EVT-002, PLT-008</x:v>
      </x:c>
      <x:c r="I94" s="39" t="str">
        <x:v>Not started</x:v>
      </x:c>
      <x:c r="J94" s="33" t="n">
        <x:f>IF(AND(I94="Done",N94&lt;&gt;""),1,0)</x:f>
        <x:v>0</x:v>
      </x:c>
      <x:c r="K94" s="29" t="str">
        <x:v>Authentication, payload size, schema validation and idempotency precede workflow activation.</x:v>
      </x:c>
      <x:c r="L94" s="29" t="str">
        <x:v>services/webhook-dispatcher/ (proposed)</x:v>
      </x:c>
      <x:c r="M94" s="29" t="str">
        <x:v>AT-WHK-008</x:v>
      </x:c>
      <x:c r="N94" s="39"/>
      <x:c r="O94" s="41"/>
      <x:c r="P94" s="43"/>
      <x:c r="Q94" s="43"/>
      <x:c r="R94" s="29" t="str">
        <x:v>S31</x:v>
      </x:c>
      <x:c r="S94" s="39" t="str">
        <x:v>Proposed target paths; no repository implementation inspected. Completion requires linked evidence.</x:v>
      </x:c>
      <x:c r="T94" s="29" t="str">
        <x:f>IF(I94="Done",IF(N94="","MISSING EVIDENCE","Review evidence"),"Pending")</x:f>
        <x:v>Pending</x:v>
      </x:c>
      <x:c r="U94" s="29" t="str">
        <x:f>IF(AND(Q94&lt;&gt;"",Q94&lt;TODAY(),I94&lt;&gt;"Done"),"OVERDUE","")</x:f>
      </x:c>
    </x:row>
    <x:row r="95" ht="74" customHeight="1">
      <x:c r="A95" s="29" t="str">
        <x:v>WHK-009</x:v>
      </x:c>
      <x:c r="B95" s="29" t="str">
        <x:v>Customer webhooks</x:v>
      </x:c>
      <x:c r="C95" s="29" t="str">
        <x:v>Webhook sandbox and SDK verifier</x:v>
      </x:c>
      <x:c r="D95" s="29" t="str">
        <x:v>G1</x:v>
      </x:c>
      <x:c r="E95" s="29" t="str">
        <x:v>P0</x:v>
      </x:c>
      <x:c r="F95" s="29" t="str">
        <x:v>Integrations</x:v>
      </x:c>
      <x:c r="G95" s="39"/>
      <x:c r="H95" s="29" t="str">
        <x:v>EVT-002, PLT-008</x:v>
      </x:c>
      <x:c r="I95" s="39" t="str">
        <x:v>Not started</x:v>
      </x:c>
      <x:c r="J95" s="33" t="n">
        <x:f>IF(AND(I95="Done",N95&lt;&gt;""),1,0)</x:f>
        <x:v>0</x:v>
      </x:c>
      <x:c r="K95" s="29" t="str">
        <x:v>Documented examples verify signatures and reject expired timestamps and reused delivery IDs.</x:v>
      </x:c>
      <x:c r="L95" s="29" t="str">
        <x:v>services/webhook-dispatcher/ (proposed)</x:v>
      </x:c>
      <x:c r="M95" s="29" t="str">
        <x:v>AT-WHK-009</x:v>
      </x:c>
      <x:c r="N95" s="39"/>
      <x:c r="O95" s="41"/>
      <x:c r="P95" s="43"/>
      <x:c r="Q95" s="43"/>
      <x:c r="R95" s="29" t="str">
        <x:v>S31</x:v>
      </x:c>
      <x:c r="S95" s="39" t="str">
        <x:v>Proposed target paths; no repository implementation inspected. Completion requires linked evidence.</x:v>
      </x:c>
      <x:c r="T95" s="29" t="str">
        <x:f>IF(I95="Done",IF(N95="","MISSING EVIDENCE","Review evidence"),"Pending")</x:f>
        <x:v>Pending</x:v>
      </x:c>
      <x:c r="U95" s="29" t="str">
        <x:f>IF(AND(Q95&lt;&gt;"",Q95&lt;TODAY(),I95&lt;&gt;"Done"),"OVERDUE","")</x:f>
      </x:c>
    </x:row>
    <x:row r="96" ht="74" customHeight="1">
      <x:c r="A96" s="29" t="str">
        <x:v>WHK-010</x:v>
      </x:c>
      <x:c r="B96" s="29" t="str">
        <x:v>Customer webhooks</x:v>
      </x:c>
      <x:c r="C96" s="29" t="str">
        <x:v>Business completion acknowledgement</x:v>
      </x:c>
      <x:c r="D96" s="29" t="str">
        <x:v>G1</x:v>
      </x:c>
      <x:c r="E96" s="29" t="str">
        <x:v>P0</x:v>
      </x:c>
      <x:c r="F96" s="29" t="str">
        <x:v>Integrations</x:v>
      </x:c>
      <x:c r="G96" s="39"/>
      <x:c r="H96" s="29" t="str">
        <x:v>EVT-002, PLT-008</x:v>
      </x:c>
      <x:c r="I96" s="39" t="str">
        <x:v>Not started</x:v>
      </x:c>
      <x:c r="J96" s="33" t="n">
        <x:f>IF(AND(I96="Done",N96&lt;&gt;""),1,0)</x:f>
        <x:v>0</x:v>
      </x:c>
      <x:c r="K96" s="29" t="str">
        <x:v>Optional business-ack API is authenticated and separate from transport 2xx delivery acknowledgement.</x:v>
      </x:c>
      <x:c r="L96" s="29" t="str">
        <x:v>services/webhook-dispatcher/ (proposed)</x:v>
      </x:c>
      <x:c r="M96" s="29" t="str">
        <x:v>AT-WHK-010</x:v>
      </x:c>
      <x:c r="N96" s="39"/>
      <x:c r="O96" s="41"/>
      <x:c r="P96" s="43"/>
      <x:c r="Q96" s="43"/>
      <x:c r="R96" s="29" t="str">
        <x:v>S31</x:v>
      </x:c>
      <x:c r="S96" s="39" t="str">
        <x:v>Proposed target paths; no repository implementation inspected. Completion requires linked evidence.</x:v>
      </x:c>
      <x:c r="T96" s="29" t="str">
        <x:f>IF(I96="Done",IF(N96="","MISSING EVIDENCE","Review evidence"),"Pending")</x:f>
        <x:v>Pending</x:v>
      </x:c>
      <x:c r="U96" s="29" t="str">
        <x:f>IF(AND(Q96&lt;&gt;"",Q96&lt;TODAY(),I96&lt;&gt;"Done"),"OVERDUE","")</x:f>
      </x:c>
    </x:row>
    <x:row r="97" ht="74" customHeight="1">
      <x:c r="A97" s="29" t="str">
        <x:v>CUS-001</x:v>
      </x:c>
      <x:c r="B97" s="29" t="str">
        <x:v>Customer state and consent</x:v>
      </x:c>
      <x:c r="C97" s="29" t="str">
        <x:v>Contacts, companies and attributes</x:v>
      </x:c>
      <x:c r="D97" s="29" t="str">
        <x:v>G1</x:v>
      </x:c>
      <x:c r="E97" s="29" t="str">
        <x:v>P0</x:v>
      </x:c>
      <x:c r="F97" s="29" t="str">
        <x:v>Customer</x:v>
      </x:c>
      <x:c r="G97" s="39"/>
      <x:c r="H97" s="29" t="str">
        <x:v>DAT-006</x:v>
      </x:c>
      <x:c r="I97" s="39" t="str">
        <x:v>Not started</x:v>
      </x:c>
      <x:c r="J97" s="33" t="n">
        <x:f>IF(AND(I97="Done",N97&lt;&gt;""),1,0)</x:f>
        <x:v>0</x:v>
      </x:c>
      <x:c r="K97" s="29" t="str">
        <x:v>Custom fields are versioned with validation, import errors and deletion controls.</x:v>
      </x:c>
      <x:c r="L97" s="29" t="str">
        <x:v>services/core/customer/ (proposed)</x:v>
      </x:c>
      <x:c r="M97" s="29" t="str">
        <x:v>AT-CUS-001</x:v>
      </x:c>
      <x:c r="N97" s="39"/>
      <x:c r="O97" s="41"/>
      <x:c r="P97" s="43"/>
      <x:c r="Q97" s="43"/>
      <x:c r="R97" s="29" t="str">
        <x:v>S03-S04</x:v>
      </x:c>
      <x:c r="S97" s="39" t="str">
        <x:v>Proposed target paths; no repository implementation inspected. Completion requires linked evidence.</x:v>
      </x:c>
      <x:c r="T97" s="29" t="str">
        <x:f>IF(I97="Done",IF(N97="","MISSING EVIDENCE","Review evidence"),"Pending")</x:f>
        <x:v>Pending</x:v>
      </x:c>
      <x:c r="U97" s="29" t="str">
        <x:f>IF(AND(Q97&lt;&gt;"",Q97&lt;TODAY(),I97&lt;&gt;"Done"),"OVERDUE","")</x:f>
      </x:c>
    </x:row>
    <x:row r="98" ht="74" customHeight="1">
      <x:c r="A98" s="29" t="str">
        <x:v>CUS-002</x:v>
      </x:c>
      <x:c r="B98" s="29" t="str">
        <x:v>Customer state and consent</x:v>
      </x:c>
      <x:c r="C98" s="29" t="str">
        <x:v>Verified cross-channel identity linking</x:v>
      </x:c>
      <x:c r="D98" s="29" t="str">
        <x:v>G1</x:v>
      </x:c>
      <x:c r="E98" s="29" t="str">
        <x:v>P0</x:v>
      </x:c>
      <x:c r="F98" s="29" t="str">
        <x:v>Customer</x:v>
      </x:c>
      <x:c r="G98" s="39"/>
      <x:c r="H98" s="29" t="str">
        <x:v>DAT-006</x:v>
      </x:c>
      <x:c r="I98" s="39" t="str">
        <x:v>Not started</x:v>
      </x:c>
      <x:c r="J98" s="33" t="n">
        <x:f>IF(AND(I98="Done",N98&lt;&gt;""),1,0)</x:f>
        <x:v>0</x:v>
      </x:c>
      <x:c r="K98" s="29" t="str">
        <x:v>Merge requires proof/authorized confirmation; shared display names never auto-merge accounts.</x:v>
      </x:c>
      <x:c r="L98" s="29" t="str">
        <x:v>services/core/customer/ (proposed)</x:v>
      </x:c>
      <x:c r="M98" s="29" t="str">
        <x:v>AT-CUS-002</x:v>
      </x:c>
      <x:c r="N98" s="39"/>
      <x:c r="O98" s="41"/>
      <x:c r="P98" s="43"/>
      <x:c r="Q98" s="43"/>
      <x:c r="R98" s="29" t="str">
        <x:v>S03-S04</x:v>
      </x:c>
      <x:c r="S98" s="39" t="str">
        <x:v>Proposed target paths; no repository implementation inspected. Completion requires linked evidence.</x:v>
      </x:c>
      <x:c r="T98" s="29" t="str">
        <x:f>IF(I98="Done",IF(N98="","MISSING EVIDENCE","Review evidence"),"Pending")</x:f>
        <x:v>Pending</x:v>
      </x:c>
      <x:c r="U98" s="29" t="str">
        <x:f>IF(AND(Q98&lt;&gt;"",Q98&lt;TODAY(),I98&lt;&gt;"Done"),"OVERDUE","")</x:f>
      </x:c>
    </x:row>
    <x:row r="99" ht="74" customHeight="1">
      <x:c r="A99" s="29" t="str">
        <x:v>CUS-003</x:v>
      </x:c>
      <x:c r="B99" s="29" t="str">
        <x:v>Customer state and consent</x:v>
      </x:c>
      <x:c r="C99" s="29" t="str">
        <x:v>Consent and preference center</x:v>
      </x:c>
      <x:c r="D99" s="29" t="str">
        <x:v>G1</x:v>
      </x:c>
      <x:c r="E99" s="29" t="str">
        <x:v>P0</x:v>
      </x:c>
      <x:c r="F99" s="29" t="str">
        <x:v>Customer</x:v>
      </x:c>
      <x:c r="G99" s="39"/>
      <x:c r="H99" s="29" t="str">
        <x:v>DAT-006</x:v>
      </x:c>
      <x:c r="I99" s="39" t="str">
        <x:v>Not started</x:v>
      </x:c>
      <x:c r="J99" s="33" t="n">
        <x:f>IF(AND(I99="Done",N99&lt;&gt;""),1,0)</x:f>
        <x:v>0</x:v>
      </x:c>
      <x:c r="K99" s="29" t="str">
        <x:v>Purpose, channel, source, time and revocation are recorded and queryable.</x:v>
      </x:c>
      <x:c r="L99" s="29" t="str">
        <x:v>services/core/customer/ (proposed)</x:v>
      </x:c>
      <x:c r="M99" s="29" t="str">
        <x:v>AT-CUS-003</x:v>
      </x:c>
      <x:c r="N99" s="39"/>
      <x:c r="O99" s="41"/>
      <x:c r="P99" s="43"/>
      <x:c r="Q99" s="43"/>
      <x:c r="R99" s="29" t="str">
        <x:v>S03-S04</x:v>
      </x:c>
      <x:c r="S99" s="39" t="str">
        <x:v>Proposed target paths; no repository implementation inspected. Completion requires linked evidence.</x:v>
      </x:c>
      <x:c r="T99" s="29" t="str">
        <x:f>IF(I99="Done",IF(N99="","MISSING EVIDENCE","Review evidence"),"Pending")</x:f>
        <x:v>Pending</x:v>
      </x:c>
      <x:c r="U99" s="29" t="str">
        <x:f>IF(AND(Q99&lt;&gt;"",Q99&lt;TODAY(),I99&lt;&gt;"Done"),"OVERDUE","")</x:f>
      </x:c>
    </x:row>
    <x:row r="100" ht="74" customHeight="1">
      <x:c r="A100" s="29" t="str">
        <x:v>CUS-004</x:v>
      </x:c>
      <x:c r="B100" s="29" t="str">
        <x:v>Customer state and consent</x:v>
      </x:c>
      <x:c r="C100" s="29" t="str">
        <x:v>Customer journey state</x:v>
      </x:c>
      <x:c r="D100" s="29" t="str">
        <x:v>G1</x:v>
      </x:c>
      <x:c r="E100" s="29" t="str">
        <x:v>P0</x:v>
      </x:c>
      <x:c r="F100" s="29" t="str">
        <x:v>Customer</x:v>
      </x:c>
      <x:c r="G100" s="39"/>
      <x:c r="H100" s="29" t="str">
        <x:v>DAT-006</x:v>
      </x:c>
      <x:c r="I100" s="39" t="str">
        <x:v>Not started</x:v>
      </x:c>
      <x:c r="J100" s="33" t="n">
        <x:f>IF(AND(I100="Done",N100&lt;&gt;""),1,0)</x:f>
        <x:v>0</x:v>
      </x:c>
      <x:c r="K100" s="29" t="str">
        <x:v>Lifecycle states update with event version checks and preserve source provenance.</x:v>
      </x:c>
      <x:c r="L100" s="29" t="str">
        <x:v>services/core/customer/ (proposed)</x:v>
      </x:c>
      <x:c r="M100" s="29" t="str">
        <x:v>AT-CUS-004</x:v>
      </x:c>
      <x:c r="N100" s="39"/>
      <x:c r="O100" s="41"/>
      <x:c r="P100" s="43"/>
      <x:c r="Q100" s="43"/>
      <x:c r="R100" s="29" t="str">
        <x:v>S03-S04</x:v>
      </x:c>
      <x:c r="S100" s="39" t="str">
        <x:v>Proposed target paths; no repository implementation inspected. Completion requires linked evidence.</x:v>
      </x:c>
      <x:c r="T100" s="29" t="str">
        <x:f>IF(I100="Done",IF(N100="","MISSING EVIDENCE","Review evidence"),"Pending")</x:f>
        <x:v>Pending</x:v>
      </x:c>
      <x:c r="U100" s="29" t="str">
        <x:f>IF(AND(Q100&lt;&gt;"",Q100&lt;TODAY(),I100&lt;&gt;"Done"),"OVERDUE","")</x:f>
      </x:c>
    </x:row>
    <x:row r="101" ht="74" customHeight="1">
      <x:c r="A101" s="29" t="str">
        <x:v>CUS-005</x:v>
      </x:c>
      <x:c r="B101" s="29" t="str">
        <x:v>Customer state and consent</x:v>
      </x:c>
      <x:c r="C101" s="29" t="str">
        <x:v>Customer memory and summaries</x:v>
      </x:c>
      <x:c r="D101" s="29" t="str">
        <x:v>G1</x:v>
      </x:c>
      <x:c r="E101" s="29" t="str">
        <x:v>P0</x:v>
      </x:c>
      <x:c r="F101" s="29" t="str">
        <x:v>Customer</x:v>
      </x:c>
      <x:c r="G101" s="39"/>
      <x:c r="H101" s="29" t="str">
        <x:v>DAT-006</x:v>
      </x:c>
      <x:c r="I101" s="39" t="str">
        <x:v>Not started</x:v>
      </x:c>
      <x:c r="J101" s="33" t="n">
        <x:f>IF(AND(I101="Done",N101&lt;&gt;""),1,0)</x:f>
        <x:v>0</x:v>
      </x:c>
      <x:c r="K101" s="29" t="str">
        <x:v>Authorized context retrieval respects tenant/customer ACLs and separates facts from inference.</x:v>
      </x:c>
      <x:c r="L101" s="29" t="str">
        <x:v>services/core/customer/ (proposed)</x:v>
      </x:c>
      <x:c r="M101" s="29" t="str">
        <x:v>AT-CUS-005</x:v>
      </x:c>
      <x:c r="N101" s="39"/>
      <x:c r="O101" s="41"/>
      <x:c r="P101" s="43"/>
      <x:c r="Q101" s="43"/>
      <x:c r="R101" s="29" t="str">
        <x:v>S03-S04</x:v>
      </x:c>
      <x:c r="S101" s="39" t="str">
        <x:v>Proposed target paths; no repository implementation inspected. Completion requires linked evidence.</x:v>
      </x:c>
      <x:c r="T101" s="29" t="str">
        <x:f>IF(I101="Done",IF(N101="","MISSING EVIDENCE","Review evidence"),"Pending")</x:f>
        <x:v>Pending</x:v>
      </x:c>
      <x:c r="U101" s="29" t="str">
        <x:f>IF(AND(Q101&lt;&gt;"",Q101&lt;TODAY(),I101&lt;&gt;"Done"),"OVERDUE","")</x:f>
      </x:c>
    </x:row>
    <x:row r="102" ht="74" customHeight="1">
      <x:c r="A102" s="29" t="str">
        <x:v>CUS-006</x:v>
      </x:c>
      <x:c r="B102" s="29" t="str">
        <x:v>Customer state and consent</x:v>
      </x:c>
      <x:c r="C102" s="29" t="str">
        <x:v>CRM sync ownership</x:v>
      </x:c>
      <x:c r="D102" s="29" t="str">
        <x:v>G1</x:v>
      </x:c>
      <x:c r="E102" s="29" t="str">
        <x:v>P0</x:v>
      </x:c>
      <x:c r="F102" s="29" t="str">
        <x:v>Customer</x:v>
      </x:c>
      <x:c r="G102" s="39"/>
      <x:c r="H102" s="29" t="str">
        <x:v>DAT-006</x:v>
      </x:c>
      <x:c r="I102" s="39" t="str">
        <x:v>Not started</x:v>
      </x:c>
      <x:c r="J102" s="33" t="n">
        <x:f>IF(AND(I102="Done",N102&lt;&gt;""),1,0)</x:f>
        <x:v>0</x:v>
      </x:c>
      <x:c r="K102" s="29" t="str">
        <x:v>Field source-of-truth, conflict resolution and sync-loop suppression are explicit.</x:v>
      </x:c>
      <x:c r="L102" s="29" t="str">
        <x:v>services/core/customer/ (proposed)</x:v>
      </x:c>
      <x:c r="M102" s="29" t="str">
        <x:v>AT-CUS-006</x:v>
      </x:c>
      <x:c r="N102" s="39"/>
      <x:c r="O102" s="41"/>
      <x:c r="P102" s="43"/>
      <x:c r="Q102" s="43"/>
      <x:c r="R102" s="29" t="str">
        <x:v>S03-S04</x:v>
      </x:c>
      <x:c r="S102" s="39" t="str">
        <x:v>Proposed target paths; no repository implementation inspected. Completion requires linked evidence.</x:v>
      </x:c>
      <x:c r="T102" s="29" t="str">
        <x:f>IF(I102="Done",IF(N102="","MISSING EVIDENCE","Review evidence"),"Pending")</x:f>
        <x:v>Pending</x:v>
      </x:c>
      <x:c r="U102" s="29" t="str">
        <x:f>IF(AND(Q102&lt;&gt;"",Q102&lt;TODAY(),I102&lt;&gt;"Done"),"OVERDUE","")</x:f>
      </x:c>
    </x:row>
    <x:row r="103" ht="74" customHeight="1">
      <x:c r="A103" s="29" t="str">
        <x:v>CUS-007</x:v>
      </x:c>
      <x:c r="B103" s="29" t="str">
        <x:v>Customer state and consent</x:v>
      </x:c>
      <x:c r="C103" s="29" t="str">
        <x:v>Segments and audience snapshots</x:v>
      </x:c>
      <x:c r="D103" s="29" t="str">
        <x:v>G1</x:v>
      </x:c>
      <x:c r="E103" s="29" t="str">
        <x:v>P0</x:v>
      </x:c>
      <x:c r="F103" s="29" t="str">
        <x:v>Customer</x:v>
      </x:c>
      <x:c r="G103" s="39"/>
      <x:c r="H103" s="29" t="str">
        <x:v>DAT-006</x:v>
      </x:c>
      <x:c r="I103" s="39" t="str">
        <x:v>Not started</x:v>
      </x:c>
      <x:c r="J103" s="33" t="n">
        <x:f>IF(AND(I103="Done",N103&lt;&gt;""),1,0)</x:f>
        <x:v>0</x:v>
      </x:c>
      <x:c r="K103" s="29" t="str">
        <x:v>Campaign audiences are reproducible with suppression rechecked before send.</x:v>
      </x:c>
      <x:c r="L103" s="29" t="str">
        <x:v>services/core/customer/ (proposed)</x:v>
      </x:c>
      <x:c r="M103" s="29" t="str">
        <x:v>AT-CUS-007</x:v>
      </x:c>
      <x:c r="N103" s="39"/>
      <x:c r="O103" s="41"/>
      <x:c r="P103" s="43"/>
      <x:c r="Q103" s="43"/>
      <x:c r="R103" s="29" t="str">
        <x:v>S03-S04</x:v>
      </x:c>
      <x:c r="S103" s="39" t="str">
        <x:v>Proposed target paths; no repository implementation inspected. Completion requires linked evidence.</x:v>
      </x:c>
      <x:c r="T103" s="29" t="str">
        <x:f>IF(I103="Done",IF(N103="","MISSING EVIDENCE","Review evidence"),"Pending")</x:f>
        <x:v>Pending</x:v>
      </x:c>
      <x:c r="U103" s="29" t="str">
        <x:f>IF(AND(Q103&lt;&gt;"",Q103&lt;TODAY(),I103&lt;&gt;"Done"),"OVERDUE","")</x:f>
      </x:c>
    </x:row>
    <x:row r="104" ht="74" customHeight="1">
      <x:c r="A104" s="29" t="str">
        <x:v>CUS-008</x:v>
      </x:c>
      <x:c r="B104" s="29" t="str">
        <x:v>Customer state and consent</x:v>
      </x:c>
      <x:c r="C104" s="29" t="str">
        <x:v>Import, export and merge rollback</x:v>
      </x:c>
      <x:c r="D104" s="29" t="str">
        <x:v>G1</x:v>
      </x:c>
      <x:c r="E104" s="29" t="str">
        <x:v>P0</x:v>
      </x:c>
      <x:c r="F104" s="29" t="str">
        <x:v>Customer</x:v>
      </x:c>
      <x:c r="G104" s="39"/>
      <x:c r="H104" s="29" t="str">
        <x:v>DAT-006</x:v>
      </x:c>
      <x:c r="I104" s="39" t="str">
        <x:v>Not started</x:v>
      </x:c>
      <x:c r="J104" s="33" t="n">
        <x:f>IF(AND(I104="Done",N104&lt;&gt;""),1,0)</x:f>
        <x:v>0</x:v>
      </x:c>
      <x:c r="K104" s="29" t="str">
        <x:v>Large jobs stream, validate and report rejects; identity unlink repairs affected views.</x:v>
      </x:c>
      <x:c r="L104" s="29" t="str">
        <x:v>services/core/customer/ (proposed)</x:v>
      </x:c>
      <x:c r="M104" s="29" t="str">
        <x:v>AT-CUS-008</x:v>
      </x:c>
      <x:c r="N104" s="39"/>
      <x:c r="O104" s="41"/>
      <x:c r="P104" s="43"/>
      <x:c r="Q104" s="43"/>
      <x:c r="R104" s="29" t="str">
        <x:v>S03-S04</x:v>
      </x:c>
      <x:c r="S104" s="39" t="str">
        <x:v>Proposed target paths; no repository implementation inspected. Completion requires linked evidence.</x:v>
      </x:c>
      <x:c r="T104" s="29" t="str">
        <x:f>IF(I104="Done",IF(N104="","MISSING EVIDENCE","Review evidence"),"Pending")</x:f>
        <x:v>Pending</x:v>
      </x:c>
      <x:c r="U104" s="29" t="str">
        <x:f>IF(AND(Q104&lt;&gt;"",Q104&lt;TODAY(),I104&lt;&gt;"Done"),"OVERDUE","")</x:f>
      </x:c>
    </x:row>
    <x:row r="105" ht="74" customHeight="1">
      <x:c r="A105" s="29" t="str">
        <x:v>MIS-001</x:v>
      </x:c>
      <x:c r="B105" s="29" t="str">
        <x:v>Mission and experience compiler</x:v>
      </x:c>
      <x:c r="C105" s="29" t="str">
        <x:v>Mission domain model</x:v>
      </x:c>
      <x:c r="D105" s="29" t="str">
        <x:v>G1</x:v>
      </x:c>
      <x:c r="E105" s="29" t="str">
        <x:v>P0</x:v>
      </x:c>
      <x:c r="F105" s="29" t="str">
        <x:v>Automation</x:v>
      </x:c>
      <x:c r="G105" s="39"/>
      <x:c r="H105" s="29" t="str">
        <x:v>WFL-002, ACT-001</x:v>
      </x:c>
      <x:c r="I105" s="39" t="str">
        <x:v>Not started</x:v>
      </x:c>
      <x:c r="J105" s="33" t="n">
        <x:f>IF(AND(I105="Done",N105&lt;&gt;""),1,0)</x:f>
        <x:v>0</x:v>
      </x:c>
      <x:c r="K105" s="29" t="str">
        <x:v>Goal, measurable success, budget, policy, audience, owner and attribution window are versioned.</x:v>
      </x:c>
      <x:c r="L105" s="29" t="str">
        <x:v>services/core/missions/; packages/workflow-ir/ (proposed)</x:v>
      </x:c>
      <x:c r="M105" s="29" t="str">
        <x:v>AT-MIS-001</x:v>
      </x:c>
      <x:c r="N105" s="39"/>
      <x:c r="O105" s="41"/>
      <x:c r="P105" s="43"/>
      <x:c r="Q105" s="43"/>
      <x:c r="R105" s="29" t="str">
        <x:v>S01</x:v>
      </x:c>
      <x:c r="S105" s="39" t="str">
        <x:v>Proposed target paths; no repository implementation inspected. Completion requires linked evidence.</x:v>
      </x:c>
      <x:c r="T105" s="29" t="str">
        <x:f>IF(I105="Done",IF(N105="","MISSING EVIDENCE","Review evidence"),"Pending")</x:f>
        <x:v>Pending</x:v>
      </x:c>
      <x:c r="U105" s="29" t="str">
        <x:f>IF(AND(Q105&lt;&gt;"",Q105&lt;TODAY(),I105&lt;&gt;"Done"),"OVERDUE","")</x:f>
      </x:c>
    </x:row>
    <x:row r="106" ht="74" customHeight="1">
      <x:c r="A106" s="29" t="str">
        <x:v>MIS-002</x:v>
      </x:c>
      <x:c r="B106" s="29" t="str">
        <x:v>Mission and experience compiler</x:v>
      </x:c>
      <x:c r="C106" s="29" t="str">
        <x:v>Prompt-to-mission draft</x:v>
      </x:c>
      <x:c r="D106" s="29" t="str">
        <x:v>G1</x:v>
      </x:c>
      <x:c r="E106" s="29" t="str">
        <x:v>P0</x:v>
      </x:c>
      <x:c r="F106" s="29" t="str">
        <x:v>Automation</x:v>
      </x:c>
      <x:c r="G106" s="39"/>
      <x:c r="H106" s="29" t="str">
        <x:v>WFL-002, ACT-001, AIG-001, AIG-009</x:v>
      </x:c>
      <x:c r="I106" s="39" t="str">
        <x:v>Not started</x:v>
      </x:c>
      <x:c r="J106" s="33" t="n">
        <x:f>IF(AND(I106="Done",N106&lt;&gt;""),1,0)</x:f>
        <x:v>0</x:v>
      </x:c>
      <x:c r="K106" s="29" t="str">
        <x:v>Compiler emits typed draft and missing-dependency report; never invents permissions or connections.</x:v>
      </x:c>
      <x:c r="L106" s="29" t="str">
        <x:v>services/core/missions/; packages/workflow-ir/ (proposed)</x:v>
      </x:c>
      <x:c r="M106" s="29" t="str">
        <x:v>AT-MIS-002</x:v>
      </x:c>
      <x:c r="N106" s="39"/>
      <x:c r="O106" s="41"/>
      <x:c r="P106" s="43"/>
      <x:c r="Q106" s="43"/>
      <x:c r="R106" s="29" t="str">
        <x:v>S01</x:v>
      </x:c>
      <x:c r="S106" s="39" t="str">
        <x:v>Proposed target paths; no repository implementation inspected. Completion requires linked evidence.</x:v>
      </x:c>
      <x:c r="T106" s="29" t="str">
        <x:f>IF(I106="Done",IF(N106="","MISSING EVIDENCE","Review evidence"),"Pending")</x:f>
        <x:v>Pending</x:v>
      </x:c>
      <x:c r="U106" s="29" t="str">
        <x:f>IF(AND(Q106&lt;&gt;"",Q106&lt;TODAY(),I106&lt;&gt;"Done"),"OVERDUE","")</x:f>
      </x:c>
    </x:row>
    <x:row r="107" ht="74" customHeight="1">
      <x:c r="A107" s="29" t="str">
        <x:v>MIS-003</x:v>
      </x:c>
      <x:c r="B107" s="29" t="str">
        <x:v>Mission and experience compiler</x:v>
      </x:c>
      <x:c r="C107" s="29" t="str">
        <x:v>Capability dependency resolution</x:v>
      </x:c>
      <x:c r="D107" s="29" t="str">
        <x:v>G1</x:v>
      </x:c>
      <x:c r="E107" s="29" t="str">
        <x:v>P0</x:v>
      </x:c>
      <x:c r="F107" s="29" t="str">
        <x:v>Automation</x:v>
      </x:c>
      <x:c r="G107" s="39"/>
      <x:c r="H107" s="29" t="str">
        <x:v>WFL-002, ACT-001</x:v>
      </x:c>
      <x:c r="I107" s="39" t="str">
        <x:v>Not started</x:v>
      </x:c>
      <x:c r="J107" s="33" t="n">
        <x:f>IF(AND(I107="Done",N107&lt;&gt;""),1,0)</x:f>
        <x:v>0</x:v>
      </x:c>
      <x:c r="K107" s="29" t="str">
        <x:v>Every action maps to an approved connector operation and current capability snapshot.</x:v>
      </x:c>
      <x:c r="L107" s="29" t="str">
        <x:v>services/core/missions/; packages/workflow-ir/ (proposed)</x:v>
      </x:c>
      <x:c r="M107" s="29" t="str">
        <x:v>AT-MIS-003</x:v>
      </x:c>
      <x:c r="N107" s="39"/>
      <x:c r="O107" s="41"/>
      <x:c r="P107" s="43"/>
      <x:c r="Q107" s="43"/>
      <x:c r="R107" s="29" t="str">
        <x:v>S01</x:v>
      </x:c>
      <x:c r="S107" s="39" t="str">
        <x:v>Proposed target paths; no repository implementation inspected. Completion requires linked evidence.</x:v>
      </x:c>
      <x:c r="T107" s="29" t="str">
        <x:f>IF(I107="Done",IF(N107="","MISSING EVIDENCE","Review evidence"),"Pending")</x:f>
        <x:v>Pending</x:v>
      </x:c>
      <x:c r="U107" s="29" t="str">
        <x:f>IF(AND(Q107&lt;&gt;"",Q107&lt;TODAY(),I107&lt;&gt;"Done"),"OVERDUE","")</x:f>
      </x:c>
    </x:row>
    <x:row r="108" ht="74" customHeight="1">
      <x:c r="A108" s="29" t="str">
        <x:v>MIS-004</x:v>
      </x:c>
      <x:c r="B108" s="29" t="str">
        <x:v>Mission and experience compiler</x:v>
      </x:c>
      <x:c r="C108" s="29" t="str">
        <x:v>Workflow intermediate representation</x:v>
      </x:c>
      <x:c r="D108" s="29" t="str">
        <x:v>G1</x:v>
      </x:c>
      <x:c r="E108" s="29" t="str">
        <x:v>P0</x:v>
      </x:c>
      <x:c r="F108" s="29" t="str">
        <x:v>Automation</x:v>
      </x:c>
      <x:c r="G108" s="39"/>
      <x:c r="H108" s="29" t="str">
        <x:v>WFL-002, ACT-001</x:v>
      </x:c>
      <x:c r="I108" s="39" t="str">
        <x:v>Not started</x:v>
      </x:c>
      <x:c r="J108" s="33" t="n">
        <x:f>IF(AND(I108="Done",N108&lt;&gt;""),1,0)</x:f>
        <x:v>0</x:v>
      </x:c>
      <x:c r="K108" s="29" t="str">
        <x:v>Prompt, canvas, template and developer modes produce the same validated IR.</x:v>
      </x:c>
      <x:c r="L108" s="29" t="str">
        <x:v>services/core/missions/; packages/workflow-ir/ (proposed)</x:v>
      </x:c>
      <x:c r="M108" s="29" t="str">
        <x:v>AT-MIS-004</x:v>
      </x:c>
      <x:c r="N108" s="39"/>
      <x:c r="O108" s="41"/>
      <x:c r="P108" s="43"/>
      <x:c r="Q108" s="43"/>
      <x:c r="R108" s="29" t="str">
        <x:v>S01</x:v>
      </x:c>
      <x:c r="S108" s="39" t="str">
        <x:v>Proposed target paths; no repository implementation inspected. Completion requires linked evidence.</x:v>
      </x:c>
      <x:c r="T108" s="29" t="str">
        <x:f>IF(I108="Done",IF(N108="","MISSING EVIDENCE","Review evidence"),"Pending")</x:f>
        <x:v>Pending</x:v>
      </x:c>
      <x:c r="U108" s="29" t="str">
        <x:f>IF(AND(Q108&lt;&gt;"",Q108&lt;TODAY(),I108&lt;&gt;"Done"),"OVERDUE","")</x:f>
      </x:c>
    </x:row>
    <x:row r="109" ht="74" customHeight="1">
      <x:c r="A109" s="29" t="str">
        <x:v>MIS-005</x:v>
      </x:c>
      <x:c r="B109" s="29" t="str">
        <x:v>Mission and experience compiler</x:v>
      </x:c>
      <x:c r="C109" s="29" t="str">
        <x:v>Static mission safety checks</x:v>
      </x:c>
      <x:c r="D109" s="29" t="str">
        <x:v>G1</x:v>
      </x:c>
      <x:c r="E109" s="29" t="str">
        <x:v>P0</x:v>
      </x:c>
      <x:c r="F109" s="29" t="str">
        <x:v>Automation</x:v>
      </x:c>
      <x:c r="G109" s="39"/>
      <x:c r="H109" s="29" t="str">
        <x:v>WFL-002, ACT-001</x:v>
      </x:c>
      <x:c r="I109" s="39" t="str">
        <x:v>Not started</x:v>
      </x:c>
      <x:c r="J109" s="33" t="n">
        <x:f>IF(AND(I109="Done",N109&lt;&gt;""),1,0)</x:f>
        <x:v>0</x:v>
      </x:c>
      <x:c r="K109" s="29" t="str">
        <x:v>Cycles, types, credentials, cost limits, approval paths and unreachable outcomes are checked.</x:v>
      </x:c>
      <x:c r="L109" s="29" t="str">
        <x:v>services/core/missions/; packages/workflow-ir/ (proposed)</x:v>
      </x:c>
      <x:c r="M109" s="29" t="str">
        <x:v>AT-MIS-005</x:v>
      </x:c>
      <x:c r="N109" s="39"/>
      <x:c r="O109" s="41"/>
      <x:c r="P109" s="43"/>
      <x:c r="Q109" s="43"/>
      <x:c r="R109" s="29" t="str">
        <x:v>S01</x:v>
      </x:c>
      <x:c r="S109" s="39" t="str">
        <x:v>Proposed target paths; no repository implementation inspected. Completion requires linked evidence.</x:v>
      </x:c>
      <x:c r="T109" s="29" t="str">
        <x:f>IF(I109="Done",IF(N109="","MISSING EVIDENCE","Review evidence"),"Pending")</x:f>
        <x:v>Pending</x:v>
      </x:c>
      <x:c r="U109" s="29" t="str">
        <x:f>IF(AND(Q109&lt;&gt;"",Q109&lt;TODAY(),I109&lt;&gt;"Done"),"OVERDUE","")</x:f>
      </x:c>
    </x:row>
    <x:row r="110" ht="74" customHeight="1">
      <x:c r="A110" s="29" t="str">
        <x:v>MIS-006</x:v>
      </x:c>
      <x:c r="B110" s="29" t="str">
        <x:v>Mission and experience compiler</x:v>
      </x:c>
      <x:c r="C110" s="29" t="str">
        <x:v>Channel-native experience compiler</x:v>
      </x:c>
      <x:c r="D110" s="29" t="str">
        <x:v>G2</x:v>
      </x:c>
      <x:c r="E110" s="29" t="str">
        <x:v>P1</x:v>
      </x:c>
      <x:c r="F110" s="29" t="str">
        <x:v>Automation</x:v>
      </x:c>
      <x:c r="G110" s="39"/>
      <x:c r="H110" s="29" t="str">
        <x:v>WFL-002, ACT-001</x:v>
      </x:c>
      <x:c r="I110" s="39" t="str">
        <x:v>Not started</x:v>
      </x:c>
      <x:c r="J110" s="33" t="n">
        <x:f>IF(AND(I110="Done",N110&lt;&gt;""),1,0)</x:f>
        <x:v>0</x:v>
      </x:c>
      <x:c r="K110" s="29" t="str">
        <x:v>One experience schema renders approved channel interactions or explicit web fallback.</x:v>
      </x:c>
      <x:c r="L110" s="29" t="str">
        <x:v>services/core/missions/; packages/workflow-ir/ (proposed)</x:v>
      </x:c>
      <x:c r="M110" s="29" t="str">
        <x:v>AT-MIS-006</x:v>
      </x:c>
      <x:c r="N110" s="39"/>
      <x:c r="O110" s="41"/>
      <x:c r="P110" s="43"/>
      <x:c r="Q110" s="43"/>
      <x:c r="R110" s="29" t="str">
        <x:v>S01</x:v>
      </x:c>
      <x:c r="S110" s="39" t="str">
        <x:v>Proposed target paths; no repository implementation inspected. Completion requires linked evidence.</x:v>
      </x:c>
      <x:c r="T110" s="29" t="str">
        <x:f>IF(I110="Done",IF(N110="","MISSING EVIDENCE","Review evidence"),"Pending")</x:f>
        <x:v>Pending</x:v>
      </x:c>
      <x:c r="U110" s="29" t="str">
        <x:f>IF(AND(Q110&lt;&gt;"",Q110&lt;TODAY(),I110&lt;&gt;"Done"),"OVERDUE","")</x:f>
      </x:c>
    </x:row>
    <x:row r="111" ht="74" customHeight="1">
      <x:c r="A111" s="29" t="str">
        <x:v>MIS-007</x:v>
      </x:c>
      <x:c r="B111" s="29" t="str">
        <x:v>Mission and experience compiler</x:v>
      </x:c>
      <x:c r="C111" s="29" t="str">
        <x:v>Publish approvals and immutable versions</x:v>
      </x:c>
      <x:c r="D111" s="29" t="str">
        <x:v>G1</x:v>
      </x:c>
      <x:c r="E111" s="29" t="str">
        <x:v>P0</x:v>
      </x:c>
      <x:c r="F111" s="29" t="str">
        <x:v>Automation</x:v>
      </x:c>
      <x:c r="G111" s="39"/>
      <x:c r="H111" s="29" t="str">
        <x:v>WFL-002, ACT-001, MIS-004, MIS-005</x:v>
      </x:c>
      <x:c r="I111" s="39" t="str">
        <x:v>Not started</x:v>
      </x:c>
      <x:c r="J111" s="33" t="n">
        <x:f>IF(AND(I111="Done",N111&lt;&gt;""),1,0)</x:f>
        <x:v>0</x:v>
      </x:c>
      <x:c r="K111" s="29" t="str">
        <x:v>Production versions are immutable and executions remain pinned after later edits.</x:v>
      </x:c>
      <x:c r="L111" s="29" t="str">
        <x:v>services/core/missions/; packages/workflow-ir/ (proposed)</x:v>
      </x:c>
      <x:c r="M111" s="29" t="str">
        <x:v>AT-MIS-007</x:v>
      </x:c>
      <x:c r="N111" s="39"/>
      <x:c r="O111" s="41"/>
      <x:c r="P111" s="43"/>
      <x:c r="Q111" s="43"/>
      <x:c r="R111" s="29" t="str">
        <x:v>S01</x:v>
      </x:c>
      <x:c r="S111" s="39" t="str">
        <x:v>Proposed target paths; no repository implementation inspected. Completion requires linked evidence.</x:v>
      </x:c>
      <x:c r="T111" s="29" t="str">
        <x:f>IF(I111="Done",IF(N111="","MISSING EVIDENCE","Review evidence"),"Pending")</x:f>
        <x:v>Pending</x:v>
      </x:c>
      <x:c r="U111" s="29" t="str">
        <x:f>IF(AND(Q111&lt;&gt;"",Q111&lt;TODAY(),I111&lt;&gt;"Done"),"OVERDUE","")</x:f>
      </x:c>
    </x:row>
    <x:row r="112" ht="74" customHeight="1">
      <x:c r="A112" s="29" t="str">
        <x:v>MIS-008</x:v>
      </x:c>
      <x:c r="B112" s="29" t="str">
        <x:v>Mission and experience compiler</x:v>
      </x:c>
      <x:c r="C112" s="29" t="str">
        <x:v>KPI and verified outcomes</x:v>
      </x:c>
      <x:c r="D112" s="29" t="str">
        <x:v>G1</x:v>
      </x:c>
      <x:c r="E112" s="29" t="str">
        <x:v>P0</x:v>
      </x:c>
      <x:c r="F112" s="29" t="str">
        <x:v>Automation</x:v>
      </x:c>
      <x:c r="G112" s="39"/>
      <x:c r="H112" s="29" t="str">
        <x:v>WFL-002, ACT-001</x:v>
      </x:c>
      <x:c r="I112" s="39" t="str">
        <x:v>Not started</x:v>
      </x:c>
      <x:c r="J112" s="33" t="n">
        <x:f>IF(AND(I112="Done",N112&lt;&gt;""),1,0)</x:f>
        <x:v>0</x:v>
      </x:c>
      <x:c r="K112" s="29" t="str">
        <x:v>A provider receipt is not counted as a booking/payment/visit without authoritative outcome evidence.</x:v>
      </x:c>
      <x:c r="L112" s="29" t="str">
        <x:v>services/core/missions/; packages/workflow-ir/ (proposed)</x:v>
      </x:c>
      <x:c r="M112" s="29" t="str">
        <x:v>AT-MIS-008</x:v>
      </x:c>
      <x:c r="N112" s="39"/>
      <x:c r="O112" s="41"/>
      <x:c r="P112" s="43"/>
      <x:c r="Q112" s="43"/>
      <x:c r="R112" s="29" t="str">
        <x:v>S01</x:v>
      </x:c>
      <x:c r="S112" s="39" t="str">
        <x:v>Proposed target paths; no repository implementation inspected. Completion requires linked evidence.</x:v>
      </x:c>
      <x:c r="T112" s="29" t="str">
        <x:f>IF(I112="Done",IF(N112="","MISSING EVIDENCE","Review evidence"),"Pending")</x:f>
        <x:v>Pending</x:v>
      </x:c>
      <x:c r="U112" s="29" t="str">
        <x:f>IF(AND(Q112&lt;&gt;"",Q112&lt;TODAY(),I112&lt;&gt;"Done"),"OVERDUE","")</x:f>
      </x:c>
    </x:row>
    <x:row r="113" ht="74" customHeight="1">
      <x:c r="A113" s="29" t="str">
        <x:v>MIS-009</x:v>
      </x:c>
      <x:c r="B113" s="29" t="str">
        <x:v>Mission and experience compiler</x:v>
      </x:c>
      <x:c r="C113" s="29" t="str">
        <x:v>Industry mission templates</x:v>
      </x:c>
      <x:c r="D113" s="29" t="str">
        <x:v>G2</x:v>
      </x:c>
      <x:c r="E113" s="29" t="str">
        <x:v>P1</x:v>
      </x:c>
      <x:c r="F113" s="29" t="str">
        <x:v>Automation</x:v>
      </x:c>
      <x:c r="G113" s="39"/>
      <x:c r="H113" s="29" t="str">
        <x:v>WFL-002, ACT-001</x:v>
      </x:c>
      <x:c r="I113" s="39" t="str">
        <x:v>Not started</x:v>
      </x:c>
      <x:c r="J113" s="33" t="n">
        <x:f>IF(AND(I113="Done",N113&lt;&gt;""),1,0)</x:f>
        <x:v>0</x:v>
      </x:c>
      <x:c r="K113" s="29" t="str">
        <x:v>Real estate, education, commerce and service templates include test fixtures and consent gaps.</x:v>
      </x:c>
      <x:c r="L113" s="29" t="str">
        <x:v>services/core/missions/; packages/workflow-ir/ (proposed)</x:v>
      </x:c>
      <x:c r="M113" s="29" t="str">
        <x:v>AT-MIS-009</x:v>
      </x:c>
      <x:c r="N113" s="39"/>
      <x:c r="O113" s="41"/>
      <x:c r="P113" s="43"/>
      <x:c r="Q113" s="43"/>
      <x:c r="R113" s="29" t="str">
        <x:v>S01</x:v>
      </x:c>
      <x:c r="S113" s="39" t="str">
        <x:v>Proposed target paths; no repository implementation inspected. Completion requires linked evidence.</x:v>
      </x:c>
      <x:c r="T113" s="29" t="str">
        <x:f>IF(I113="Done",IF(N113="","MISSING EVIDENCE","Review evidence"),"Pending")</x:f>
        <x:v>Pending</x:v>
      </x:c>
      <x:c r="U113" s="29" t="str">
        <x:f>IF(AND(Q113&lt;&gt;"",Q113&lt;TODAY(),I113&lt;&gt;"Done"),"OVERDUE","")</x:f>
      </x:c>
    </x:row>
    <x:row r="114" ht="74" customHeight="1">
      <x:c r="A114" s="29" t="str">
        <x:v>WFL-001</x:v>
      </x:c>
      <x:c r="B114" s="29" t="str">
        <x:v>Workflow studio and runtime</x:v>
      </x:c>
      <x:c r="C114" s="29" t="str">
        <x:v>Visual workflow canvas</x:v>
      </x:c>
      <x:c r="D114" s="29" t="str">
        <x:v>G1</x:v>
      </x:c>
      <x:c r="E114" s="29" t="str">
        <x:v>P0</x:v>
      </x:c>
      <x:c r="F114" s="29" t="str">
        <x:v>Automation</x:v>
      </x:c>
      <x:c r="G114" s="39"/>
      <x:c r="H114" s="29" t="str">
        <x:v>EVT-002, PLT-006</x:v>
      </x:c>
      <x:c r="I114" s="39" t="str">
        <x:v>Not started</x:v>
      </x:c>
      <x:c r="J114" s="33" t="n">
        <x:f>IF(AND(I114="Done",N114&lt;&gt;""),1,0)</x:f>
        <x:v>0</x:v>
      </x:c>
      <x:c r="K114" s="29" t="str">
        <x:v>Node palette, typed ports, validation, undo/redo, zoom, autosave and keyboard operations work.</x:v>
      </x:c>
      <x:c r="L114" s="29" t="str">
        <x:v>services/workflow-runtime/; packages/node-sdk/ (proposed)</x:v>
      </x:c>
      <x:c r="M114" s="29" t="str">
        <x:v>AT-WFL-001</x:v>
      </x:c>
      <x:c r="N114" s="39"/>
      <x:c r="O114" s="41"/>
      <x:c r="P114" s="43"/>
      <x:c r="Q114" s="43"/>
      <x:c r="R114" s="29" t="str">
        <x:v>S19-S20,S28</x:v>
      </x:c>
      <x:c r="S114" s="39" t="str">
        <x:v>Proposed target paths; no repository implementation inspected. Completion requires linked evidence.</x:v>
      </x:c>
      <x:c r="T114" s="29" t="str">
        <x:f>IF(I114="Done",IF(N114="","MISSING EVIDENCE","Review evidence"),"Pending")</x:f>
        <x:v>Pending</x:v>
      </x:c>
      <x:c r="U114" s="29" t="str">
        <x:f>IF(AND(Q114&lt;&gt;"",Q114&lt;TODAY(),I114&lt;&gt;"Done"),"OVERDUE","")</x:f>
      </x:c>
    </x:row>
    <x:row r="115" ht="74" customHeight="1">
      <x:c r="A115" s="29" t="str">
        <x:v>WFL-002</x:v>
      </x:c>
      <x:c r="B115" s="29" t="str">
        <x:v>Workflow studio and runtime</x:v>
      </x:c>
      <x:c r="C115" s="29" t="str">
        <x:v>Reusable node framework</x:v>
      </x:c>
      <x:c r="D115" s="29" t="str">
        <x:v>G1</x:v>
      </x:c>
      <x:c r="E115" s="29" t="str">
        <x:v>P0</x:v>
      </x:c>
      <x:c r="F115" s="29" t="str">
        <x:v>Automation</x:v>
      </x:c>
      <x:c r="G115" s="39"/>
      <x:c r="H115" s="29" t="str">
        <x:v>EVT-002, PLT-006</x:v>
      </x:c>
      <x:c r="I115" s="39" t="str">
        <x:v>Not started</x:v>
      </x:c>
      <x:c r="J115" s="33" t="n">
        <x:f>IF(AND(I115="Done",N115&lt;&gt;""),1,0)</x:f>
        <x:v>0</x:v>
      </x:c>
      <x:c r="K115" s="29" t="str">
        <x:v>Signed node packages declare schema, version, side effects, timeout, idempotency and capabilities.</x:v>
      </x:c>
      <x:c r="L115" s="29" t="str">
        <x:v>services/workflow-runtime/; packages/node-sdk/ (proposed)</x:v>
      </x:c>
      <x:c r="M115" s="29" t="str">
        <x:v>AT-WFL-002</x:v>
      </x:c>
      <x:c r="N115" s="39"/>
      <x:c r="O115" s="41"/>
      <x:c r="P115" s="43"/>
      <x:c r="Q115" s="43"/>
      <x:c r="R115" s="29" t="str">
        <x:v>S19-S20,S28</x:v>
      </x:c>
      <x:c r="S115" s="39" t="str">
        <x:v>Proposed target paths; no repository implementation inspected. Completion requires linked evidence.</x:v>
      </x:c>
      <x:c r="T115" s="29" t="str">
        <x:f>IF(I115="Done",IF(N115="","MISSING EVIDENCE","Review evidence"),"Pending")</x:f>
        <x:v>Pending</x:v>
      </x:c>
      <x:c r="U115" s="29" t="str">
        <x:f>IF(AND(Q115&lt;&gt;"",Q115&lt;TODAY(),I115&lt;&gt;"Done"),"OVERDUE","")</x:f>
      </x:c>
    </x:row>
    <x:row r="116" ht="74" customHeight="1">
      <x:c r="A116" s="29" t="str">
        <x:v>WFL-003</x:v>
      </x:c>
      <x:c r="B116" s="29" t="str">
        <x:v>Workflow studio and runtime</x:v>
      </x:c>
      <x:c r="C116" s="29" t="str">
        <x:v>Trigger and schedule nodes</x:v>
      </x:c>
      <x:c r="D116" s="29" t="str">
        <x:v>G1</x:v>
      </x:c>
      <x:c r="E116" s="29" t="str">
        <x:v>P0</x:v>
      </x:c>
      <x:c r="F116" s="29" t="str">
        <x:v>Automation</x:v>
      </x:c>
      <x:c r="G116" s="39"/>
      <x:c r="H116" s="29" t="str">
        <x:v>EVT-002, PLT-006</x:v>
      </x:c>
      <x:c r="I116" s="39" t="str">
        <x:v>Not started</x:v>
      </x:c>
      <x:c r="J116" s="33" t="n">
        <x:f>IF(AND(I116="Done",N116&lt;&gt;""),1,0)</x:f>
        <x:v>0</x:v>
      </x:c>
      <x:c r="K116" s="29" t="str">
        <x:v>Channel/event/webhook/manual/schedule triggers deduplicate; time zones and DST are tested.</x:v>
      </x:c>
      <x:c r="L116" s="29" t="str">
        <x:v>services/workflow-runtime/; packages/node-sdk/ (proposed)</x:v>
      </x:c>
      <x:c r="M116" s="29" t="str">
        <x:v>AT-WFL-003</x:v>
      </x:c>
      <x:c r="N116" s="39"/>
      <x:c r="O116" s="41"/>
      <x:c r="P116" s="43"/>
      <x:c r="Q116" s="43"/>
      <x:c r="R116" s="29" t="str">
        <x:v>S19-S20,S28</x:v>
      </x:c>
      <x:c r="S116" s="39" t="str">
        <x:v>Proposed target paths; no repository implementation inspected. Completion requires linked evidence.</x:v>
      </x:c>
      <x:c r="T116" s="29" t="str">
        <x:f>IF(I116="Done",IF(N116="","MISSING EVIDENCE","Review evidence"),"Pending")</x:f>
        <x:v>Pending</x:v>
      </x:c>
      <x:c r="U116" s="29" t="str">
        <x:f>IF(AND(Q116&lt;&gt;"",Q116&lt;TODAY(),I116&lt;&gt;"Done"),"OVERDUE","")</x:f>
      </x:c>
    </x:row>
    <x:row r="117" ht="74" customHeight="1">
      <x:c r="A117" s="29" t="str">
        <x:v>WFL-004</x:v>
      </x:c>
      <x:c r="B117" s="29" t="str">
        <x:v>Workflow studio and runtime</x:v>
      </x:c>
      <x:c r="C117" s="29" t="str">
        <x:v>Logic, data and mapping nodes</x:v>
      </x:c>
      <x:c r="D117" s="29" t="str">
        <x:v>G1</x:v>
      </x:c>
      <x:c r="E117" s="29" t="str">
        <x:v>P0</x:v>
      </x:c>
      <x:c r="F117" s="29" t="str">
        <x:v>Automation</x:v>
      </x:c>
      <x:c r="G117" s="39"/>
      <x:c r="H117" s="29" t="str">
        <x:v>EVT-002, PLT-006</x:v>
      </x:c>
      <x:c r="I117" s="39" t="str">
        <x:v>Not started</x:v>
      </x:c>
      <x:c r="J117" s="33" t="n">
        <x:f>IF(AND(I117="Done",N117&lt;&gt;""),1,0)</x:f>
        <x:v>0</x:v>
      </x:c>
      <x:c r="K117" s="29" t="str">
        <x:v>Conditions, bounded loops, joins and transformations validate types without arbitrary eval.</x:v>
      </x:c>
      <x:c r="L117" s="29" t="str">
        <x:v>services/workflow-runtime/; packages/node-sdk/ (proposed)</x:v>
      </x:c>
      <x:c r="M117" s="29" t="str">
        <x:v>AT-WFL-004</x:v>
      </x:c>
      <x:c r="N117" s="39"/>
      <x:c r="O117" s="41"/>
      <x:c r="P117" s="43"/>
      <x:c r="Q117" s="43"/>
      <x:c r="R117" s="29" t="str">
        <x:v>S19-S20,S28</x:v>
      </x:c>
      <x:c r="S117" s="39" t="str">
        <x:v>Proposed target paths; no repository implementation inspected. Completion requires linked evidence.</x:v>
      </x:c>
      <x:c r="T117" s="29" t="str">
        <x:f>IF(I117="Done",IF(N117="","MISSING EVIDENCE","Review evidence"),"Pending")</x:f>
        <x:v>Pending</x:v>
      </x:c>
      <x:c r="U117" s="29" t="str">
        <x:f>IF(AND(Q117&lt;&gt;"",Q117&lt;TODAY(),I117&lt;&gt;"Done"),"OVERDUE","")</x:f>
      </x:c>
    </x:row>
    <x:row r="118" ht="74" customHeight="1">
      <x:c r="A118" s="29" t="str">
        <x:v>WFL-005</x:v>
      </x:c>
      <x:c r="B118" s="29" t="str">
        <x:v>Workflow studio and runtime</x:v>
      </x:c>
      <x:c r="C118" s="29" t="str">
        <x:v>Durable waits and human tasks</x:v>
      </x:c>
      <x:c r="D118" s="29" t="str">
        <x:v>G1</x:v>
      </x:c>
      <x:c r="E118" s="29" t="str">
        <x:v>P0</x:v>
      </x:c>
      <x:c r="F118" s="29" t="str">
        <x:v>Automation</x:v>
      </x:c>
      <x:c r="G118" s="39"/>
      <x:c r="H118" s="29" t="str">
        <x:v>EVT-002, PLT-006</x:v>
      </x:c>
      <x:c r="I118" s="39" t="str">
        <x:v>Not started</x:v>
      </x:c>
      <x:c r="J118" s="33" t="n">
        <x:f>IF(AND(I118="Done",N118&lt;&gt;""),1,0)</x:f>
        <x:v>0</x:v>
      </x:c>
      <x:c r="K118" s="29" t="str">
        <x:v>Days-long waits resume after worker failure; approval is authenticated and bound to exact action.</x:v>
      </x:c>
      <x:c r="L118" s="29" t="str">
        <x:v>services/workflow-runtime/; packages/node-sdk/ (proposed)</x:v>
      </x:c>
      <x:c r="M118" s="29" t="str">
        <x:v>AT-WFL-005</x:v>
      </x:c>
      <x:c r="N118" s="39"/>
      <x:c r="O118" s="41"/>
      <x:c r="P118" s="43"/>
      <x:c r="Q118" s="43"/>
      <x:c r="R118" s="29" t="str">
        <x:v>S19-S20,S28</x:v>
      </x:c>
      <x:c r="S118" s="39" t="str">
        <x:v>Proposed target paths; no repository implementation inspected. Completion requires linked evidence.</x:v>
      </x:c>
      <x:c r="T118" s="29" t="str">
        <x:f>IF(I118="Done",IF(N118="","MISSING EVIDENCE","Review evidence"),"Pending")</x:f>
        <x:v>Pending</x:v>
      </x:c>
      <x:c r="U118" s="29" t="str">
        <x:f>IF(AND(Q118&lt;&gt;"",Q118&lt;TODAY(),I118&lt;&gt;"Done"),"OVERDUE","")</x:f>
      </x:c>
    </x:row>
    <x:row r="119" ht="74" customHeight="1">
      <x:c r="A119" s="29" t="str">
        <x:v>WFL-006</x:v>
      </x:c>
      <x:c r="B119" s="29" t="str">
        <x:v>Workflow studio and runtime</x:v>
      </x:c>
      <x:c r="C119" s="29" t="str">
        <x:v>Temporal mission interpreter</x:v>
      </x:c>
      <x:c r="D119" s="29" t="str">
        <x:v>G1</x:v>
      </x:c>
      <x:c r="E119" s="29" t="str">
        <x:v>P0</x:v>
      </x:c>
      <x:c r="F119" s="29" t="str">
        <x:v>Automation</x:v>
      </x:c>
      <x:c r="G119" s="39"/>
      <x:c r="H119" s="29" t="str">
        <x:v>EVT-002, PLT-006, MIS-004</x:v>
      </x:c>
      <x:c r="I119" s="39" t="str">
        <x:v>Not started</x:v>
      </x:c>
      <x:c r="J119" s="33" t="n">
        <x:f>IF(AND(I119="Done",N119&lt;&gt;""),1,0)</x:f>
        <x:v>0</x:v>
      </x:c>
      <x:c r="K119" s="29" t="str">
        <x:v>Activities contain side effects; workflow replay remains deterministic across code changes.</x:v>
      </x:c>
      <x:c r="L119" s="29" t="str">
        <x:v>services/workflow-runtime/; packages/node-sdk/ (proposed)</x:v>
      </x:c>
      <x:c r="M119" s="29" t="str">
        <x:v>AT-WFL-006</x:v>
      </x:c>
      <x:c r="N119" s="39"/>
      <x:c r="O119" s="41"/>
      <x:c r="P119" s="43"/>
      <x:c r="Q119" s="43"/>
      <x:c r="R119" s="29" t="str">
        <x:v>S19-S20,S28</x:v>
      </x:c>
      <x:c r="S119" s="39" t="str">
        <x:v>Proposed target paths; no repository implementation inspected. Completion requires linked evidence.</x:v>
      </x:c>
      <x:c r="T119" s="29" t="str">
        <x:f>IF(I119="Done",IF(N119="","MISSING EVIDENCE","Review evidence"),"Pending")</x:f>
        <x:v>Pending</x:v>
      </x:c>
      <x:c r="U119" s="29" t="str">
        <x:f>IF(AND(Q119&lt;&gt;"",Q119&lt;TODAY(),I119&lt;&gt;"Done"),"OVERDUE","")</x:f>
      </x:c>
    </x:row>
    <x:row r="120" ht="74" customHeight="1">
      <x:c r="A120" s="29" t="str">
        <x:v>WFL-007</x:v>
      </x:c>
      <x:c r="B120" s="29" t="str">
        <x:v>Workflow studio and runtime</x:v>
      </x:c>
      <x:c r="C120" s="29" t="str">
        <x:v>Fast-path automations</x:v>
      </x:c>
      <x:c r="D120" s="29" t="str">
        <x:v>G1</x:v>
      </x:c>
      <x:c r="E120" s="29" t="str">
        <x:v>P0</x:v>
      </x:c>
      <x:c r="F120" s="29" t="str">
        <x:v>Automation</x:v>
      </x:c>
      <x:c r="G120" s="39"/>
      <x:c r="H120" s="29" t="str">
        <x:v>EVT-002, PLT-006</x:v>
      </x:c>
      <x:c r="I120" s="39" t="str">
        <x:v>Not started</x:v>
      </x:c>
      <x:c r="J120" s="33" t="n">
        <x:f>IF(AND(I120="Done",N120&lt;&gt;""),1,0)</x:f>
        <x:v>0</x:v>
      </x:c>
      <x:c r="K120" s="29" t="str">
        <x:v>Simple deterministic routing avoids a workflow start per receipt while using the same action gateway.</x:v>
      </x:c>
      <x:c r="L120" s="29" t="str">
        <x:v>services/workflow-runtime/; packages/node-sdk/ (proposed)</x:v>
      </x:c>
      <x:c r="M120" s="29" t="str">
        <x:v>AT-WFL-007</x:v>
      </x:c>
      <x:c r="N120" s="39"/>
      <x:c r="O120" s="41"/>
      <x:c r="P120" s="43"/>
      <x:c r="Q120" s="43"/>
      <x:c r="R120" s="29" t="str">
        <x:v>S19-S20,S28</x:v>
      </x:c>
      <x:c r="S120" s="39" t="str">
        <x:v>Proposed target paths; no repository implementation inspected. Completion requires linked evidence.</x:v>
      </x:c>
      <x:c r="T120" s="29" t="str">
        <x:f>IF(I120="Done",IF(N120="","MISSING EVIDENCE","Review evidence"),"Pending")</x:f>
        <x:v>Pending</x:v>
      </x:c>
      <x:c r="U120" s="29" t="str">
        <x:f>IF(AND(Q120&lt;&gt;"",Q120&lt;TODAY(),I120&lt;&gt;"Done"),"OVERDUE","")</x:f>
      </x:c>
    </x:row>
    <x:row r="121" ht="74" customHeight="1">
      <x:c r="A121" s="29" t="str">
        <x:v>WFL-008</x:v>
      </x:c>
      <x:c r="B121" s="29" t="str">
        <x:v>Workflow studio and runtime</x:v>
      </x:c>
      <x:c r="C121" s="29" t="str">
        <x:v>Runtime quotas and fair queues</x:v>
      </x:c>
      <x:c r="D121" s="29" t="str">
        <x:v>G1</x:v>
      </x:c>
      <x:c r="E121" s="29" t="str">
        <x:v>P0</x:v>
      </x:c>
      <x:c r="F121" s="29" t="str">
        <x:v>Automation</x:v>
      </x:c>
      <x:c r="G121" s="39"/>
      <x:c r="H121" s="29" t="str">
        <x:v>EVT-002, PLT-006</x:v>
      </x:c>
      <x:c r="I121" s="39" t="str">
        <x:v>Not started</x:v>
      </x:c>
      <x:c r="J121" s="33" t="n">
        <x:f>IF(AND(I121="Done",N121&lt;&gt;""),1,0)</x:f>
        <x:v>0</x:v>
      </x:c>
      <x:c r="K121" s="29" t="str">
        <x:v>Per-tenant execution/token/action limits prevent recursion and noisy-neighbor starvation.</x:v>
      </x:c>
      <x:c r="L121" s="29" t="str">
        <x:v>services/workflow-runtime/; packages/node-sdk/ (proposed)</x:v>
      </x:c>
      <x:c r="M121" s="29" t="str">
        <x:v>AT-WFL-008</x:v>
      </x:c>
      <x:c r="N121" s="39"/>
      <x:c r="O121" s="41"/>
      <x:c r="P121" s="43"/>
      <x:c r="Q121" s="43"/>
      <x:c r="R121" s="29" t="str">
        <x:v>S19-S20,S28</x:v>
      </x:c>
      <x:c r="S121" s="39" t="str">
        <x:v>Proposed target paths; no repository implementation inspected. Completion requires linked evidence.</x:v>
      </x:c>
      <x:c r="T121" s="29" t="str">
        <x:f>IF(I121="Done",IF(N121="","MISSING EVIDENCE","Review evidence"),"Pending")</x:f>
        <x:v>Pending</x:v>
      </x:c>
      <x:c r="U121" s="29" t="str">
        <x:f>IF(AND(Q121&lt;&gt;"",Q121&lt;TODAY(),I121&lt;&gt;"Done"),"OVERDUE","")</x:f>
      </x:c>
    </x:row>
    <x:row r="122" ht="74" customHeight="1">
      <x:c r="A122" s="29" t="str">
        <x:v>WFL-009</x:v>
      </x:c>
      <x:c r="B122" s="29" t="str">
        <x:v>Workflow studio and runtime</x:v>
      </x:c>
      <x:c r="C122" s="29" t="str">
        <x:v>Signals and conversation continuations</x:v>
      </x:c>
      <x:c r="D122" s="29" t="str">
        <x:v>G1</x:v>
      </x:c>
      <x:c r="E122" s="29" t="str">
        <x:v>P0</x:v>
      </x:c>
      <x:c r="F122" s="29" t="str">
        <x:v>Automation</x:v>
      </x:c>
      <x:c r="G122" s="39"/>
      <x:c r="H122" s="29" t="str">
        <x:v>EVT-002, PLT-006</x:v>
      </x:c>
      <x:c r="I122" s="39" t="str">
        <x:v>Not started</x:v>
      </x:c>
      <x:c r="J122" s="33" t="n">
        <x:f>IF(AND(I122="Done",N122&lt;&gt;""),1,0)</x:f>
        <x:v>0</x:v>
      </x:c>
      <x:c r="K122" s="29" t="str">
        <x:v>Only relevant events signal running missions; duplicate signals do not duplicate actions.</x:v>
      </x:c>
      <x:c r="L122" s="29" t="str">
        <x:v>services/workflow-runtime/; packages/node-sdk/ (proposed)</x:v>
      </x:c>
      <x:c r="M122" s="29" t="str">
        <x:v>AT-WFL-009</x:v>
      </x:c>
      <x:c r="N122" s="39"/>
      <x:c r="O122" s="41"/>
      <x:c r="P122" s="43"/>
      <x:c r="Q122" s="43"/>
      <x:c r="R122" s="29" t="str">
        <x:v>S19-S20,S28</x:v>
      </x:c>
      <x:c r="S122" s="39" t="str">
        <x:v>Proposed target paths; no repository implementation inspected. Completion requires linked evidence.</x:v>
      </x:c>
      <x:c r="T122" s="29" t="str">
        <x:f>IF(I122="Done",IF(N122="","MISSING EVIDENCE","Review evidence"),"Pending")</x:f>
        <x:v>Pending</x:v>
      </x:c>
      <x:c r="U122" s="29" t="str">
        <x:f>IF(AND(Q122&lt;&gt;"",Q122&lt;TODAY(),I122&lt;&gt;"Done"),"OVERDUE","")</x:f>
      </x:c>
    </x:row>
    <x:row r="123" ht="74" customHeight="1">
      <x:c r="A123" s="29" t="str">
        <x:v>WFL-010</x:v>
      </x:c>
      <x:c r="B123" s="29" t="str">
        <x:v>Workflow studio and runtime</x:v>
      </x:c>
      <x:c r="C123" s="29" t="str">
        <x:v>Debugger and safe resume</x:v>
      </x:c>
      <x:c r="D123" s="29" t="str">
        <x:v>G1</x:v>
      </x:c>
      <x:c r="E123" s="29" t="str">
        <x:v>P0</x:v>
      </x:c>
      <x:c r="F123" s="29" t="str">
        <x:v>Automation</x:v>
      </x:c>
      <x:c r="G123" s="39"/>
      <x:c r="H123" s="29" t="str">
        <x:v>EVT-002, PLT-006</x:v>
      </x:c>
      <x:c r="I123" s="39" t="str">
        <x:v>Not started</x:v>
      </x:c>
      <x:c r="J123" s="33" t="n">
        <x:f>IF(AND(I123="Done",N123&lt;&gt;""),1,0)</x:f>
        <x:v>0</x:v>
      </x:c>
      <x:c r="K123" s="29" t="str">
        <x:v>Inputs/outputs are redacted; resume skips completed side effects unless explicit new execution is approved.</x:v>
      </x:c>
      <x:c r="L123" s="29" t="str">
        <x:v>services/workflow-runtime/; packages/node-sdk/ (proposed)</x:v>
      </x:c>
      <x:c r="M123" s="29" t="str">
        <x:v>AT-WFL-010</x:v>
      </x:c>
      <x:c r="N123" s="39"/>
      <x:c r="O123" s="41"/>
      <x:c r="P123" s="43"/>
      <x:c r="Q123" s="43"/>
      <x:c r="R123" s="29" t="str">
        <x:v>S19-S20,S28</x:v>
      </x:c>
      <x:c r="S123" s="39" t="str">
        <x:v>Proposed target paths; no repository implementation inspected. Completion requires linked evidence.</x:v>
      </x:c>
      <x:c r="T123" s="29" t="str">
        <x:f>IF(I123="Done",IF(N123="","MISSING EVIDENCE","Review evidence"),"Pending")</x:f>
        <x:v>Pending</x:v>
      </x:c>
      <x:c r="U123" s="29" t="str">
        <x:f>IF(AND(Q123&lt;&gt;"",Q123&lt;TODAY(),I123&lt;&gt;"Done"),"OVERDUE","")</x:f>
      </x:c>
    </x:row>
    <x:row r="124" ht="74" customHeight="1">
      <x:c r="A124" s="29" t="str">
        <x:v>WFL-011</x:v>
      </x:c>
      <x:c r="B124" s="29" t="str">
        <x:v>Workflow studio and runtime</x:v>
      </x:c>
      <x:c r="C124" s="29" t="str">
        <x:v>Versioning, rollback and migration</x:v>
      </x:c>
      <x:c r="D124" s="29" t="str">
        <x:v>G1</x:v>
      </x:c>
      <x:c r="E124" s="29" t="str">
        <x:v>P0</x:v>
      </x:c>
      <x:c r="F124" s="29" t="str">
        <x:v>Automation</x:v>
      </x:c>
      <x:c r="G124" s="39"/>
      <x:c r="H124" s="29" t="str">
        <x:v>EVT-002, PLT-006</x:v>
      </x:c>
      <x:c r="I124" s="39" t="str">
        <x:v>Not started</x:v>
      </x:c>
      <x:c r="J124" s="33" t="n">
        <x:f>IF(AND(I124="Done",N124&lt;&gt;""),1,0)</x:f>
        <x:v>0</x:v>
      </x:c>
      <x:c r="K124" s="29" t="str">
        <x:v>New runs use selected version; in-flight migration requires supported replay-safe migration.</x:v>
      </x:c>
      <x:c r="L124" s="29" t="str">
        <x:v>services/workflow-runtime/; packages/node-sdk/ (proposed)</x:v>
      </x:c>
      <x:c r="M124" s="29" t="str">
        <x:v>AT-WFL-011</x:v>
      </x:c>
      <x:c r="N124" s="39"/>
      <x:c r="O124" s="41"/>
      <x:c r="P124" s="43"/>
      <x:c r="Q124" s="43"/>
      <x:c r="R124" s="29" t="str">
        <x:v>S19-S20,S28</x:v>
      </x:c>
      <x:c r="S124" s="39" t="str">
        <x:v>Proposed target paths; no repository implementation inspected. Completion requires linked evidence.</x:v>
      </x:c>
      <x:c r="T124" s="29" t="str">
        <x:f>IF(I124="Done",IF(N124="","MISSING EVIDENCE","Review evidence"),"Pending")</x:f>
        <x:v>Pending</x:v>
      </x:c>
      <x:c r="U124" s="29" t="str">
        <x:f>IF(AND(Q124&lt;&gt;"",Q124&lt;TODAY(),I124&lt;&gt;"Done"),"OVERDUE","")</x:f>
      </x:c>
    </x:row>
    <x:row r="125" ht="74" customHeight="1">
      <x:c r="A125" s="29" t="str">
        <x:v>WFL-012</x:v>
      </x:c>
      <x:c r="B125" s="29" t="str">
        <x:v>Workflow studio and runtime</x:v>
      </x:c>
      <x:c r="C125" s="29" t="str">
        <x:v>History compaction and cleanup</x:v>
      </x:c>
      <x:c r="D125" s="29" t="str">
        <x:v>G1</x:v>
      </x:c>
      <x:c r="E125" s="29" t="str">
        <x:v>P0</x:v>
      </x:c>
      <x:c r="F125" s="29" t="str">
        <x:v>Automation</x:v>
      </x:c>
      <x:c r="G125" s="39"/>
      <x:c r="H125" s="29" t="str">
        <x:v>EVT-002, PLT-006</x:v>
      </x:c>
      <x:c r="I125" s="39" t="str">
        <x:v>Not started</x:v>
      </x:c>
      <x:c r="J125" s="33" t="n">
        <x:f>IF(AND(I125="Done",N125&lt;&gt;""),1,0)</x:f>
        <x:v>0</x:v>
      </x:c>
      <x:c r="K125" s="29" t="str">
        <x:v>Continue-As-New and payload references keep histories bounded without losing logical run linkage.</x:v>
      </x:c>
      <x:c r="L125" s="29" t="str">
        <x:v>services/workflow-runtime/; packages/node-sdk/ (proposed)</x:v>
      </x:c>
      <x:c r="M125" s="29" t="str">
        <x:v>AT-WFL-012</x:v>
      </x:c>
      <x:c r="N125" s="39"/>
      <x:c r="O125" s="41"/>
      <x:c r="P125" s="43"/>
      <x:c r="Q125" s="43"/>
      <x:c r="R125" s="29" t="str">
        <x:v>S19-S20,S28</x:v>
      </x:c>
      <x:c r="S125" s="39" t="str">
        <x:v>Proposed target paths; no repository implementation inspected. Completion requires linked evidence.</x:v>
      </x:c>
      <x:c r="T125" s="29" t="str">
        <x:f>IF(I125="Done",IF(N125="","MISSING EVIDENCE","Review evidence"),"Pending")</x:f>
        <x:v>Pending</x:v>
      </x:c>
      <x:c r="U125" s="29" t="str">
        <x:f>IF(AND(Q125&lt;&gt;"",Q125&lt;TODAY(),I125&lt;&gt;"Done"),"OVERDUE","")</x:f>
      </x:c>
    </x:row>
    <x:row r="126" ht="74" customHeight="1">
      <x:c r="A126" s="29" t="str">
        <x:v>ACT-001</x:v>
      </x:c>
      <x:c r="B126" s="29" t="str">
        <x:v>Policy and verified actions</x:v>
      </x:c>
      <x:c r="C126" s="29" t="str">
        <x:v>Policy studio and rule compiler</x:v>
      </x:c>
      <x:c r="D126" s="29" t="str">
        <x:v>G1</x:v>
      </x:c>
      <x:c r="E126" s="29" t="str">
        <x:v>P0</x:v>
      </x:c>
      <x:c r="F126" s="29" t="str">
        <x:v>Security</x:v>
      </x:c>
      <x:c r="G126" s="39"/>
      <x:c r="H126" s="29" t="str">
        <x:v>PLT-003, DAT-002</x:v>
      </x:c>
      <x:c r="I126" s="39" t="str">
        <x:v>Not started</x:v>
      </x:c>
      <x:c r="J126" s="33" t="n">
        <x:f>IF(AND(I126="Done",N126&lt;&gt;""),1,0)</x:f>
        <x:v>0</x:v>
      </x:c>
      <x:c r="K126" s="29" t="str">
        <x:v>No-code rules produce reviewed versioned policies; default deny on missing required facts.</x:v>
      </x:c>
      <x:c r="L126" s="29" t="str">
        <x:v>services/action-gateway/; packages/policy/ (proposed)</x:v>
      </x:c>
      <x:c r="M126" s="29" t="str">
        <x:v>AT-ACT-001</x:v>
      </x:c>
      <x:c r="N126" s="39"/>
      <x:c r="O126" s="41"/>
      <x:c r="P126" s="43"/>
      <x:c r="Q126" s="43"/>
      <x:c r="R126" s="29" t="str">
        <x:v>S01,S22</x:v>
      </x:c>
      <x:c r="S126" s="39" t="str">
        <x:v>Proposed target paths; no repository implementation inspected. Completion requires linked evidence.</x:v>
      </x:c>
      <x:c r="T126" s="29" t="str">
        <x:f>IF(I126="Done",IF(N126="","MISSING EVIDENCE","Review evidence"),"Pending")</x:f>
        <x:v>Pending</x:v>
      </x:c>
      <x:c r="U126" s="29" t="str">
        <x:f>IF(AND(Q126&lt;&gt;"",Q126&lt;TODAY(),I126&lt;&gt;"Done"),"OVERDUE","")</x:f>
      </x:c>
    </x:row>
    <x:row r="127" ht="74" customHeight="1">
      <x:c r="A127" s="29" t="str">
        <x:v>ACT-002</x:v>
      </x:c>
      <x:c r="B127" s="29" t="str">
        <x:v>Policy and verified actions</x:v>
      </x:c>
      <x:c r="C127" s="29" t="str">
        <x:v>Unified action gateway</x:v>
      </x:c>
      <x:c r="D127" s="29" t="str">
        <x:v>G1</x:v>
      </x:c>
      <x:c r="E127" s="29" t="str">
        <x:v>P0</x:v>
      </x:c>
      <x:c r="F127" s="29" t="str">
        <x:v>Security</x:v>
      </x:c>
      <x:c r="G127" s="39"/>
      <x:c r="H127" s="29" t="str">
        <x:v>PLT-003, DAT-002</x:v>
      </x:c>
      <x:c r="I127" s="39" t="str">
        <x:v>Not started</x:v>
      </x:c>
      <x:c r="J127" s="33" t="n">
        <x:f>IF(AND(I127="Done",N127&lt;&gt;""),1,0)</x:f>
        <x:v>0</x:v>
      </x:c>
      <x:c r="K127" s="29" t="str">
        <x:v>AI, humans, API and campaign workers cannot bypass authorization/consent/budget checks.</x:v>
      </x:c>
      <x:c r="L127" s="29" t="str">
        <x:v>services/action-gateway/; packages/policy/ (proposed)</x:v>
      </x:c>
      <x:c r="M127" s="29" t="str">
        <x:v>AT-ACT-002</x:v>
      </x:c>
      <x:c r="N127" s="39"/>
      <x:c r="O127" s="41"/>
      <x:c r="P127" s="43"/>
      <x:c r="Q127" s="43"/>
      <x:c r="R127" s="29" t="str">
        <x:v>S01,S22</x:v>
      </x:c>
      <x:c r="S127" s="39" t="str">
        <x:v>Proposed target paths; no repository implementation inspected. Completion requires linked evidence.</x:v>
      </x:c>
      <x:c r="T127" s="29" t="str">
        <x:f>IF(I127="Done",IF(N127="","MISSING EVIDENCE","Review evidence"),"Pending")</x:f>
        <x:v>Pending</x:v>
      </x:c>
      <x:c r="U127" s="29" t="str">
        <x:f>IF(AND(Q127&lt;&gt;"",Q127&lt;TODAY(),I127&lt;&gt;"Done"),"OVERDUE","")</x:f>
      </x:c>
    </x:row>
    <x:row r="128" ht="74" customHeight="1">
      <x:c r="A128" s="29" t="str">
        <x:v>ACT-003</x:v>
      </x:c>
      <x:c r="B128" s="29" t="str">
        <x:v>Policy and verified actions</x:v>
      </x:c>
      <x:c r="C128" s="29" t="str">
        <x:v>Durable action state machine</x:v>
      </x:c>
      <x:c r="D128" s="29" t="str">
        <x:v>G1</x:v>
      </x:c>
      <x:c r="E128" s="29" t="str">
        <x:v>P0</x:v>
      </x:c>
      <x:c r="F128" s="29" t="str">
        <x:v>Security</x:v>
      </x:c>
      <x:c r="G128" s="39"/>
      <x:c r="H128" s="29" t="str">
        <x:v>PLT-003, DAT-002</x:v>
      </x:c>
      <x:c r="I128" s="39" t="str">
        <x:v>Not started</x:v>
      </x:c>
      <x:c r="J128" s="33" t="n">
        <x:f>IF(AND(I128="Done",N128&lt;&gt;""),1,0)</x:f>
        <x:v>0</x:v>
      </x:c>
      <x:c r="K128" s="29" t="str">
        <x:v>Reserve, approve, execute, unknown, confirm and fail states handle races and retries.</x:v>
      </x:c>
      <x:c r="L128" s="29" t="str">
        <x:v>services/action-gateway/; packages/policy/ (proposed)</x:v>
      </x:c>
      <x:c r="M128" s="29" t="str">
        <x:v>AT-ACT-003</x:v>
      </x:c>
      <x:c r="N128" s="39"/>
      <x:c r="O128" s="41"/>
      <x:c r="P128" s="43"/>
      <x:c r="Q128" s="43"/>
      <x:c r="R128" s="29" t="str">
        <x:v>S01,S22</x:v>
      </x:c>
      <x:c r="S128" s="39" t="str">
        <x:v>Proposed target paths; no repository implementation inspected. Completion requires linked evidence.</x:v>
      </x:c>
      <x:c r="T128" s="29" t="str">
        <x:f>IF(I128="Done",IF(N128="","MISSING EVIDENCE","Review evidence"),"Pending")</x:f>
        <x:v>Pending</x:v>
      </x:c>
      <x:c r="U128" s="29" t="str">
        <x:f>IF(AND(Q128&lt;&gt;"",Q128&lt;TODAY(),I128&lt;&gt;"Done"),"OVERDUE","")</x:f>
      </x:c>
    </x:row>
    <x:row r="129" ht="74" customHeight="1">
      <x:c r="A129" s="29" t="str">
        <x:v>ACT-004</x:v>
      </x:c>
      <x:c r="B129" s="29" t="str">
        <x:v>Policy and verified actions</x:v>
      </x:c>
      <x:c r="C129" s="29" t="str">
        <x:v>Idempotency and fencing</x:v>
      </x:c>
      <x:c r="D129" s="29" t="str">
        <x:v>G1</x:v>
      </x:c>
      <x:c r="E129" s="29" t="str">
        <x:v>P0</x:v>
      </x:c>
      <x:c r="F129" s="29" t="str">
        <x:v>Security</x:v>
      </x:c>
      <x:c r="G129" s="39"/>
      <x:c r="H129" s="29" t="str">
        <x:v>PLT-003, DAT-002</x:v>
      </x:c>
      <x:c r="I129" s="39" t="str">
        <x:v>Not started</x:v>
      </x:c>
      <x:c r="J129" s="33" t="n">
        <x:f>IF(AND(I129="Done",N129&lt;&gt;""),1,0)</x:f>
        <x:v>0</x:v>
      </x:c>
      <x:c r="K129" s="29" t="str">
        <x:v>Action IDs include tenant, execution and step; stale workers cannot acquire a new authorized send.</x:v>
      </x:c>
      <x:c r="L129" s="29" t="str">
        <x:v>services/action-gateway/; packages/policy/ (proposed)</x:v>
      </x:c>
      <x:c r="M129" s="29" t="str">
        <x:v>AT-ACT-004</x:v>
      </x:c>
      <x:c r="N129" s="39"/>
      <x:c r="O129" s="41"/>
      <x:c r="P129" s="43"/>
      <x:c r="Q129" s="43"/>
      <x:c r="R129" s="29" t="str">
        <x:v>S01,S22</x:v>
      </x:c>
      <x:c r="S129" s="39" t="str">
        <x:v>Proposed target paths; no repository implementation inspected. Completion requires linked evidence.</x:v>
      </x:c>
      <x:c r="T129" s="29" t="str">
        <x:f>IF(I129="Done",IF(N129="","MISSING EVIDENCE","Review evidence"),"Pending")</x:f>
        <x:v>Pending</x:v>
      </x:c>
      <x:c r="U129" s="29" t="str">
        <x:f>IF(AND(Q129&lt;&gt;"",Q129&lt;TODAY(),I129&lt;&gt;"Done"),"OVERDUE","")</x:f>
      </x:c>
    </x:row>
    <x:row r="130" ht="74" customHeight="1">
      <x:c r="A130" s="29" t="str">
        <x:v>ACT-005</x:v>
      </x:c>
      <x:c r="B130" s="29" t="str">
        <x:v>Policy and verified actions</x:v>
      </x:c>
      <x:c r="C130" s="29" t="str">
        <x:v>Approval binding and expiry</x:v>
      </x:c>
      <x:c r="D130" s="29" t="str">
        <x:v>G1</x:v>
      </x:c>
      <x:c r="E130" s="29" t="str">
        <x:v>P0</x:v>
      </x:c>
      <x:c r="F130" s="29" t="str">
        <x:v>Security</x:v>
      </x:c>
      <x:c r="G130" s="39"/>
      <x:c r="H130" s="29" t="str">
        <x:v>PLT-003, DAT-002</x:v>
      </x:c>
      <x:c r="I130" s="39" t="str">
        <x:v>Not started</x:v>
      </x:c>
      <x:c r="J130" s="33" t="n">
        <x:f>IF(AND(I130="Done",N130&lt;&gt;""),1,0)</x:f>
        <x:v>0</x:v>
      </x:c>
      <x:c r="K130" s="29" t="str">
        <x:v>Approval includes payload hash, amount, beneficiary and policy version; change invalidates approval.</x:v>
      </x:c>
      <x:c r="L130" s="29" t="str">
        <x:v>services/action-gateway/; packages/policy/ (proposed)</x:v>
      </x:c>
      <x:c r="M130" s="29" t="str">
        <x:v>AT-ACT-005</x:v>
      </x:c>
      <x:c r="N130" s="39"/>
      <x:c r="O130" s="41"/>
      <x:c r="P130" s="43"/>
      <x:c r="Q130" s="43"/>
      <x:c r="R130" s="29" t="str">
        <x:v>S01,S22</x:v>
      </x:c>
      <x:c r="S130" s="39" t="str">
        <x:v>Proposed target paths; no repository implementation inspected. Completion requires linked evidence.</x:v>
      </x:c>
      <x:c r="T130" s="29" t="str">
        <x:f>IF(I130="Done",IF(N130="","MISSING EVIDENCE","Review evidence"),"Pending")</x:f>
        <x:v>Pending</x:v>
      </x:c>
      <x:c r="U130" s="29" t="str">
        <x:f>IF(AND(Q130&lt;&gt;"",Q130&lt;TODAY(),I130&lt;&gt;"Done"),"OVERDUE","")</x:f>
      </x:c>
    </x:row>
    <x:row r="131" ht="74" customHeight="1">
      <x:c r="A131" s="29" t="str">
        <x:v>ACT-006</x:v>
      </x:c>
      <x:c r="B131" s="29" t="str">
        <x:v>Policy and verified actions</x:v>
      </x:c>
      <x:c r="C131" s="29" t="str">
        <x:v>Budget reservation and reconciliation</x:v>
      </x:c>
      <x:c r="D131" s="29" t="str">
        <x:v>G1</x:v>
      </x:c>
      <x:c r="E131" s="29" t="str">
        <x:v>P0</x:v>
      </x:c>
      <x:c r="F131" s="29" t="str">
        <x:v>Security</x:v>
      </x:c>
      <x:c r="G131" s="39"/>
      <x:c r="H131" s="29" t="str">
        <x:v>PLT-003, DAT-002</x:v>
      </x:c>
      <x:c r="I131" s="39" t="str">
        <x:v>Not started</x:v>
      </x:c>
      <x:c r="J131" s="33" t="n">
        <x:f>IF(AND(I131="Done",N131&lt;&gt;""),1,0)</x:f>
        <x:v>0</x:v>
      </x:c>
      <x:c r="K131" s="29" t="str">
        <x:v>Concurrent actions cannot overspend reserved tenant budget; unused reservations release.</x:v>
      </x:c>
      <x:c r="L131" s="29" t="str">
        <x:v>services/action-gateway/; packages/policy/ (proposed)</x:v>
      </x:c>
      <x:c r="M131" s="29" t="str">
        <x:v>AT-ACT-006</x:v>
      </x:c>
      <x:c r="N131" s="39"/>
      <x:c r="O131" s="41"/>
      <x:c r="P131" s="43"/>
      <x:c r="Q131" s="43"/>
      <x:c r="R131" s="29" t="str">
        <x:v>S01,S22</x:v>
      </x:c>
      <x:c r="S131" s="39" t="str">
        <x:v>Proposed target paths; no repository implementation inspected. Completion requires linked evidence.</x:v>
      </x:c>
      <x:c r="T131" s="29" t="str">
        <x:f>IF(I131="Done",IF(N131="","MISSING EVIDENCE","Review evidence"),"Pending")</x:f>
        <x:v>Pending</x:v>
      </x:c>
      <x:c r="U131" s="29" t="str">
        <x:f>IF(AND(Q131&lt;&gt;"",Q131&lt;TODAY(),I131&lt;&gt;"Done"),"OVERDUE","")</x:f>
      </x:c>
    </x:row>
    <x:row r="132" ht="74" customHeight="1">
      <x:c r="A132" s="29" t="str">
        <x:v>ACT-007</x:v>
      </x:c>
      <x:c r="B132" s="29" t="str">
        <x:v>Policy and verified actions</x:v>
      </x:c>
      <x:c r="C132" s="29" t="str">
        <x:v>Provider verification adapters</x:v>
      </x:c>
      <x:c r="D132" s="29" t="str">
        <x:v>G1</x:v>
      </x:c>
      <x:c r="E132" s="29" t="str">
        <x:v>P0</x:v>
      </x:c>
      <x:c r="F132" s="29" t="str">
        <x:v>Security</x:v>
      </x:c>
      <x:c r="G132" s="39"/>
      <x:c r="H132" s="29" t="str">
        <x:v>PLT-003, DAT-002</x:v>
      </x:c>
      <x:c r="I132" s="39" t="str">
        <x:v>Not started</x:v>
      </x:c>
      <x:c r="J132" s="33" t="n">
        <x:f>IF(AND(I132="Done",N132&lt;&gt;""),1,0)</x:f>
        <x:v>0</x:v>
      </x:c>
      <x:c r="K132" s="29" t="str">
        <x:v>Verified receipt distinguishes acknowledgement, observed state and business outcome evidence.</x:v>
      </x:c>
      <x:c r="L132" s="29" t="str">
        <x:v>services/action-gateway/; packages/policy/ (proposed)</x:v>
      </x:c>
      <x:c r="M132" s="29" t="str">
        <x:v>AT-ACT-007</x:v>
      </x:c>
      <x:c r="N132" s="39"/>
      <x:c r="O132" s="41"/>
      <x:c r="P132" s="43"/>
      <x:c r="Q132" s="43"/>
      <x:c r="R132" s="29" t="str">
        <x:v>S01,S22</x:v>
      </x:c>
      <x:c r="S132" s="39" t="str">
        <x:v>Proposed target paths; no repository implementation inspected. Completion requires linked evidence.</x:v>
      </x:c>
      <x:c r="T132" s="29" t="str">
        <x:f>IF(I132="Done",IF(N132="","MISSING EVIDENCE","Review evidence"),"Pending")</x:f>
        <x:v>Pending</x:v>
      </x:c>
      <x:c r="U132" s="29" t="str">
        <x:f>IF(AND(Q132&lt;&gt;"",Q132&lt;TODAY(),I132&lt;&gt;"Done"),"OVERDUE","")</x:f>
      </x:c>
    </x:row>
    <x:row r="133" ht="74" customHeight="1">
      <x:c r="A133" s="29" t="str">
        <x:v>ACT-008</x:v>
      </x:c>
      <x:c r="B133" s="29" t="str">
        <x:v>Policy and verified actions</x:v>
      </x:c>
      <x:c r="C133" s="29" t="str">
        <x:v>Compensation and manual recovery</x:v>
      </x:c>
      <x:c r="D133" s="29" t="str">
        <x:v>G1</x:v>
      </x:c>
      <x:c r="E133" s="29" t="str">
        <x:v>P0</x:v>
      </x:c>
      <x:c r="F133" s="29" t="str">
        <x:v>Security</x:v>
      </x:c>
      <x:c r="G133" s="39"/>
      <x:c r="H133" s="29" t="str">
        <x:v>PLT-003, DAT-002</x:v>
      </x:c>
      <x:c r="I133" s="39" t="str">
        <x:v>Not started</x:v>
      </x:c>
      <x:c r="J133" s="33" t="n">
        <x:f>IF(AND(I133="Done",N133&lt;&gt;""),1,0)</x:f>
        <x:v>0</x:v>
      </x:c>
      <x:c r="K133" s="29" t="str">
        <x:v>Refund/cancel/rollback steps are explicit sagas; irreversible actions are never described as undoable.</x:v>
      </x:c>
      <x:c r="L133" s="29" t="str">
        <x:v>services/action-gateway/; packages/policy/ (proposed)</x:v>
      </x:c>
      <x:c r="M133" s="29" t="str">
        <x:v>AT-ACT-008</x:v>
      </x:c>
      <x:c r="N133" s="39"/>
      <x:c r="O133" s="41"/>
      <x:c r="P133" s="43"/>
      <x:c r="Q133" s="43"/>
      <x:c r="R133" s="29" t="str">
        <x:v>S01,S22</x:v>
      </x:c>
      <x:c r="S133" s="39" t="str">
        <x:v>Proposed target paths; no repository implementation inspected. Completion requires linked evidence.</x:v>
      </x:c>
      <x:c r="T133" s="29" t="str">
        <x:f>IF(I133="Done",IF(N133="","MISSING EVIDENCE","Review evidence"),"Pending")</x:f>
        <x:v>Pending</x:v>
      </x:c>
      <x:c r="U133" s="29" t="str">
        <x:f>IF(AND(Q133&lt;&gt;"",Q133&lt;TODAY(),I133&lt;&gt;"Done"),"OVERDUE","")</x:f>
      </x:c>
    </x:row>
    <x:row r="134" ht="74" customHeight="1">
      <x:c r="A134" s="29" t="str">
        <x:v>ACT-009</x:v>
      </x:c>
      <x:c r="B134" s="29" t="str">
        <x:v>Policy and verified actions</x:v>
      </x:c>
      <x:c r="C134" s="29" t="str">
        <x:v>Action receipt and evidence integrity</x:v>
      </x:c>
      <x:c r="D134" s="29" t="str">
        <x:v>G1</x:v>
      </x:c>
      <x:c r="E134" s="29" t="str">
        <x:v>P0</x:v>
      </x:c>
      <x:c r="F134" s="29" t="str">
        <x:v>Security</x:v>
      </x:c>
      <x:c r="G134" s="39"/>
      <x:c r="H134" s="29" t="str">
        <x:v>PLT-003, DAT-002</x:v>
      </x:c>
      <x:c r="I134" s="39" t="str">
        <x:v>Not started</x:v>
      </x:c>
      <x:c r="J134" s="33" t="n">
        <x:f>IF(AND(I134="Done",N134&lt;&gt;""),1,0)</x:f>
        <x:v>0</x:v>
      </x:c>
      <x:c r="K134" s="29" t="str">
        <x:v>Receipt chain has actor, policy, version, timestamps and evidence pointers without raw secret data.</x:v>
      </x:c>
      <x:c r="L134" s="29" t="str">
        <x:v>services/action-gateway/; packages/policy/ (proposed)</x:v>
      </x:c>
      <x:c r="M134" s="29" t="str">
        <x:v>AT-ACT-009</x:v>
      </x:c>
      <x:c r="N134" s="39"/>
      <x:c r="O134" s="41"/>
      <x:c r="P134" s="43"/>
      <x:c r="Q134" s="43"/>
      <x:c r="R134" s="29" t="str">
        <x:v>S01,S22</x:v>
      </x:c>
      <x:c r="S134" s="39" t="str">
        <x:v>Proposed target paths; no repository implementation inspected. Completion requires linked evidence.</x:v>
      </x:c>
      <x:c r="T134" s="29" t="str">
        <x:f>IF(I134="Done",IF(N134="","MISSING EVIDENCE","Review evidence"),"Pending")</x:f>
        <x:v>Pending</x:v>
      </x:c>
      <x:c r="U134" s="29" t="str">
        <x:f>IF(AND(Q134&lt;&gt;"",Q134&lt;TODAY(),I134&lt;&gt;"Done"),"OVERDUE","")</x:f>
      </x:c>
    </x:row>
    <x:row r="135" ht="74" customHeight="1">
      <x:c r="A135" s="29" t="str">
        <x:v>ACT-010</x:v>
      </x:c>
      <x:c r="B135" s="29" t="str">
        <x:v>Policy and verified actions</x:v>
      </x:c>
      <x:c r="C135" s="29" t="str">
        <x:v>Kill switches and emergency containment</x:v>
      </x:c>
      <x:c r="D135" s="29" t="str">
        <x:v>G1</x:v>
      </x:c>
      <x:c r="E135" s="29" t="str">
        <x:v>P0</x:v>
      </x:c>
      <x:c r="F135" s="29" t="str">
        <x:v>Security</x:v>
      </x:c>
      <x:c r="G135" s="39"/>
      <x:c r="H135" s="29" t="str">
        <x:v>PLT-003, DAT-002</x:v>
      </x:c>
      <x:c r="I135" s="39" t="str">
        <x:v>Not started</x:v>
      </x:c>
      <x:c r="J135" s="33" t="n">
        <x:f>IF(AND(I135="Done",N135&lt;&gt;""),1,0)</x:f>
        <x:v>0</x:v>
      </x:c>
      <x:c r="K135" s="29" t="str">
        <x:v>Tenant, channel, mission, connector and global side-effect stops work independently of UI.</x:v>
      </x:c>
      <x:c r="L135" s="29" t="str">
        <x:v>services/action-gateway/; packages/policy/ (proposed)</x:v>
      </x:c>
      <x:c r="M135" s="29" t="str">
        <x:v>AT-ACT-010</x:v>
      </x:c>
      <x:c r="N135" s="39"/>
      <x:c r="O135" s="41"/>
      <x:c r="P135" s="43"/>
      <x:c r="Q135" s="43"/>
      <x:c r="R135" s="29" t="str">
        <x:v>S01,S22</x:v>
      </x:c>
      <x:c r="S135" s="39" t="str">
        <x:v>Proposed target paths; no repository implementation inspected. Completion requires linked evidence.</x:v>
      </x:c>
      <x:c r="T135" s="29" t="str">
        <x:f>IF(I135="Done",IF(N135="","MISSING EVIDENCE","Review evidence"),"Pending")</x:f>
        <x:v>Pending</x:v>
      </x:c>
      <x:c r="U135" s="29" t="str">
        <x:f>IF(AND(Q135&lt;&gt;"",Q135&lt;TODAY(),I135&lt;&gt;"Done"),"OVERDUE","")</x:f>
      </x:c>
    </x:row>
    <x:row r="136" ht="74" customHeight="1">
      <x:c r="A136" s="29" t="str">
        <x:v>SIM-001</x:v>
      </x:c>
      <x:c r="B136" s="29" t="str">
        <x:v>Journey twin and controlled change</x:v>
      </x:c>
      <x:c r="C136" s="29" t="str">
        <x:v>Deterministic provider/integration simulator</x:v>
      </x:c>
      <x:c r="D136" s="29" t="str">
        <x:v>G1</x:v>
      </x:c>
      <x:c r="E136" s="29" t="str">
        <x:v>P0</x:v>
      </x:c>
      <x:c r="F136" s="29" t="str">
        <x:v>Automation</x:v>
      </x:c>
      <x:c r="G136" s="39"/>
      <x:c r="H136" s="29" t="str">
        <x:v>MIS-004, WFL-006</x:v>
      </x:c>
      <x:c r="I136" s="39" t="str">
        <x:v>Not started</x:v>
      </x:c>
      <x:c r="J136" s="33" t="n">
        <x:f>IF(AND(I136="Done",N136&lt;&gt;""),1,0)</x:f>
        <x:v>0</x:v>
      </x:c>
      <x:c r="K136" s="29" t="str">
        <x:v>Signed fixtures reproduce limits, errors, expiry, duplicate and late callbacks.</x:v>
      </x:c>
      <x:c r="L136" s="29" t="str">
        <x:v>services/workflow-runtime/simulation/ (proposed)</x:v>
      </x:c>
      <x:c r="M136" s="29" t="str">
        <x:v>AT-SIM-001</x:v>
      </x:c>
      <x:c r="N136" s="39"/>
      <x:c r="O136" s="41"/>
      <x:c r="P136" s="43"/>
      <x:c r="Q136" s="43"/>
      <x:c r="R136" s="29" t="str">
        <x:v>S01</x:v>
      </x:c>
      <x:c r="S136" s="39" t="str">
        <x:v>Proposed target paths; no repository implementation inspected. Completion requires linked evidence.</x:v>
      </x:c>
      <x:c r="T136" s="29" t="str">
        <x:f>IF(I136="Done",IF(N136="","MISSING EVIDENCE","Review evidence"),"Pending")</x:f>
        <x:v>Pending</x:v>
      </x:c>
      <x:c r="U136" s="29" t="str">
        <x:f>IF(AND(Q136&lt;&gt;"",Q136&lt;TODAY(),I136&lt;&gt;"Done"),"OVERDUE","")</x:f>
      </x:c>
    </x:row>
    <x:row r="137" ht="74" customHeight="1">
      <x:c r="A137" s="29" t="str">
        <x:v>SIM-002</x:v>
      </x:c>
      <x:c r="B137" s="29" t="str">
        <x:v>Journey twin and controlled change</x:v>
      </x:c>
      <x:c r="C137" s="29" t="str">
        <x:v>Synthetic customer scenarios</x:v>
      </x:c>
      <x:c r="D137" s="29" t="str">
        <x:v>G1</x:v>
      </x:c>
      <x:c r="E137" s="29" t="str">
        <x:v>P0</x:v>
      </x:c>
      <x:c r="F137" s="29" t="str">
        <x:v>Automation</x:v>
      </x:c>
      <x:c r="G137" s="39"/>
      <x:c r="H137" s="29" t="str">
        <x:v>MIS-004, WFL-006</x:v>
      </x:c>
      <x:c r="I137" s="39" t="str">
        <x:v>Not started</x:v>
      </x:c>
      <x:c r="J137" s="33" t="n">
        <x:f>IF(AND(I137="Done",N137&lt;&gt;""),1,0)</x:f>
        <x:v>0</x:v>
      </x:c>
      <x:c r="K137" s="29" t="str">
        <x:v>Synthetic outcomes are labeled simulated and never presented as proven real conversion rates.</x:v>
      </x:c>
      <x:c r="L137" s="29" t="str">
        <x:v>services/workflow-runtime/simulation/ (proposed)</x:v>
      </x:c>
      <x:c r="M137" s="29" t="str">
        <x:v>AT-SIM-002</x:v>
      </x:c>
      <x:c r="N137" s="39"/>
      <x:c r="O137" s="41"/>
      <x:c r="P137" s="43"/>
      <x:c r="Q137" s="43"/>
      <x:c r="R137" s="29" t="str">
        <x:v>S01</x:v>
      </x:c>
      <x:c r="S137" s="39" t="str">
        <x:v>Proposed target paths; no repository implementation inspected. Completion requires linked evidence.</x:v>
      </x:c>
      <x:c r="T137" s="29" t="str">
        <x:f>IF(I137="Done",IF(N137="","MISSING EVIDENCE","Review evidence"),"Pending")</x:f>
        <x:v>Pending</x:v>
      </x:c>
      <x:c r="U137" s="29" t="str">
        <x:f>IF(AND(Q137&lt;&gt;"",Q137&lt;TODAY(),I137&lt;&gt;"Done"),"OVERDUE","")</x:f>
      </x:c>
    </x:row>
    <x:row r="138" ht="74" customHeight="1">
      <x:c r="A138" s="29" t="str">
        <x:v>SIM-003</x:v>
      </x:c>
      <x:c r="B138" s="29" t="str">
        <x:v>Journey twin and controlled change</x:v>
      </x:c>
      <x:c r="C138" s="29" t="str">
        <x:v>Network-isolated shadow runtime</x:v>
      </x:c>
      <x:c r="D138" s="29" t="str">
        <x:v>G1</x:v>
      </x:c>
      <x:c r="E138" s="29" t="str">
        <x:v>P0</x:v>
      </x:c>
      <x:c r="F138" s="29" t="str">
        <x:v>Automation</x:v>
      </x:c>
      <x:c r="G138" s="39"/>
      <x:c r="H138" s="29" t="str">
        <x:v>MIS-004, WFL-006, SIM-001, SEC-009</x:v>
      </x:c>
      <x:c r="I138" s="39" t="str">
        <x:v>Not started</x:v>
      </x:c>
      <x:c r="J138" s="33" t="n">
        <x:f>IF(AND(I138="Done",N138&lt;&gt;""),1,0)</x:f>
        <x:v>0</x:v>
      </x:c>
      <x:c r="K138" s="29" t="str">
        <x:v>Shadow has no production credentials and network denies all production side effects.</x:v>
      </x:c>
      <x:c r="L138" s="29" t="str">
        <x:v>services/workflow-runtime/simulation/ (proposed)</x:v>
      </x:c>
      <x:c r="M138" s="29" t="str">
        <x:v>AT-SIM-003</x:v>
      </x:c>
      <x:c r="N138" s="39"/>
      <x:c r="O138" s="41"/>
      <x:c r="P138" s="43"/>
      <x:c r="Q138" s="43"/>
      <x:c r="R138" s="29" t="str">
        <x:v>S01</x:v>
      </x:c>
      <x:c r="S138" s="39" t="str">
        <x:v>Proposed target paths; no repository implementation inspected. Completion requires linked evidence.</x:v>
      </x:c>
      <x:c r="T138" s="29" t="str">
        <x:f>IF(I138="Done",IF(N138="","MISSING EVIDENCE","Review evidence"),"Pending")</x:f>
        <x:v>Pending</x:v>
      </x:c>
      <x:c r="U138" s="29" t="str">
        <x:f>IF(AND(Q138&lt;&gt;"",Q138&lt;TODAY(),I138&lt;&gt;"Done"),"OVERDUE","")</x:f>
      </x:c>
    </x:row>
    <x:row r="139" ht="74" customHeight="1">
      <x:c r="A139" s="29" t="str">
        <x:v>SIM-004</x:v>
      </x:c>
      <x:c r="B139" s="29" t="str">
        <x:v>Journey twin and controlled change</x:v>
      </x:c>
      <x:c r="C139" s="29" t="str">
        <x:v>Historical replay and time controls</x:v>
      </x:c>
      <x:c r="D139" s="29" t="str">
        <x:v>G2</x:v>
      </x:c>
      <x:c r="E139" s="29" t="str">
        <x:v>P1</x:v>
      </x:c>
      <x:c r="F139" s="29" t="str">
        <x:v>Automation</x:v>
      </x:c>
      <x:c r="G139" s="39"/>
      <x:c r="H139" s="29" t="str">
        <x:v>MIS-004, WFL-006</x:v>
      </x:c>
      <x:c r="I139" s="39" t="str">
        <x:v>Not started</x:v>
      </x:c>
      <x:c r="J139" s="33" t="n">
        <x:f>IF(AND(I139="Done",N139&lt;&gt;""),1,0)</x:f>
        <x:v>0</x:v>
      </x:c>
      <x:c r="K139" s="29" t="str">
        <x:v>Replay uses authorized redacted data and records version/dataset/seed for reproducibility.</x:v>
      </x:c>
      <x:c r="L139" s="29" t="str">
        <x:v>services/workflow-runtime/simulation/ (proposed)</x:v>
      </x:c>
      <x:c r="M139" s="29" t="str">
        <x:v>AT-SIM-004</x:v>
      </x:c>
      <x:c r="N139" s="39"/>
      <x:c r="O139" s="41"/>
      <x:c r="P139" s="43"/>
      <x:c r="Q139" s="43"/>
      <x:c r="R139" s="29" t="str">
        <x:v>S01</x:v>
      </x:c>
      <x:c r="S139" s="39" t="str">
        <x:v>Proposed target paths; no repository implementation inspected. Completion requires linked evidence.</x:v>
      </x:c>
      <x:c r="T139" s="29" t="str">
        <x:f>IF(I139="Done",IF(N139="","MISSING EVIDENCE","Review evidence"),"Pending")</x:f>
        <x:v>Pending</x:v>
      </x:c>
      <x:c r="U139" s="29" t="str">
        <x:f>IF(AND(Q139&lt;&gt;"",Q139&lt;TODAY(),I139&lt;&gt;"Done"),"OVERDUE","")</x:f>
      </x:c>
    </x:row>
    <x:row r="140" ht="74" customHeight="1">
      <x:c r="A140" s="29" t="str">
        <x:v>SIM-005</x:v>
      </x:c>
      <x:c r="B140" s="29" t="str">
        <x:v>Journey twin and controlled change</x:v>
      </x:c>
      <x:c r="C140" s="29" t="str">
        <x:v>Canary experiment manager</x:v>
      </x:c>
      <x:c r="D140" s="29" t="str">
        <x:v>G2</x:v>
      </x:c>
      <x:c r="E140" s="29" t="str">
        <x:v>P1</x:v>
      </x:c>
      <x:c r="F140" s="29" t="str">
        <x:v>Automation</x:v>
      </x:c>
      <x:c r="G140" s="39"/>
      <x:c r="H140" s="29" t="str">
        <x:v>MIS-004, WFL-006</x:v>
      </x:c>
      <x:c r="I140" s="39" t="str">
        <x:v>Not started</x:v>
      </x:c>
      <x:c r="J140" s="33" t="n">
        <x:f>IF(AND(I140="Done",N140&lt;&gt;""),1,0)</x:f>
        <x:v>0</x:v>
      </x:c>
      <x:c r="K140" s="29" t="str">
        <x:v>Randomized cohorts, guardrails and stop conditions precede claims of causal uplift.</x:v>
      </x:c>
      <x:c r="L140" s="29" t="str">
        <x:v>services/workflow-runtime/simulation/ (proposed)</x:v>
      </x:c>
      <x:c r="M140" s="29" t="str">
        <x:v>AT-SIM-005</x:v>
      </x:c>
      <x:c r="N140" s="39"/>
      <x:c r="O140" s="41"/>
      <x:c r="P140" s="43"/>
      <x:c r="Q140" s="43"/>
      <x:c r="R140" s="29" t="str">
        <x:v>S01</x:v>
      </x:c>
      <x:c r="S140" s="39" t="str">
        <x:v>Proposed target paths; no repository implementation inspected. Completion requires linked evidence.</x:v>
      </x:c>
      <x:c r="T140" s="29" t="str">
        <x:f>IF(I140="Done",IF(N140="","MISSING EVIDENCE","Review evidence"),"Pending")</x:f>
        <x:v>Pending</x:v>
      </x:c>
      <x:c r="U140" s="29" t="str">
        <x:f>IF(AND(Q140&lt;&gt;"",Q140&lt;TODAY(),I140&lt;&gt;"Done"),"OVERDUE","")</x:f>
      </x:c>
    </x:row>
    <x:row r="141" ht="74" customHeight="1">
      <x:c r="A141" s="29" t="str">
        <x:v>SIM-006</x:v>
      </x:c>
      <x:c r="B141" s="29" t="str">
        <x:v>Journey twin and controlled change</x:v>
      </x:c>
      <x:c r="C141" s="29" t="str">
        <x:v>Provider Change Radar</x:v>
      </x:c>
      <x:c r="D141" s="29" t="str">
        <x:v>G2</x:v>
      </x:c>
      <x:c r="E141" s="29" t="str">
        <x:v>P1</x:v>
      </x:c>
      <x:c r="F141" s="29" t="str">
        <x:v>Automation</x:v>
      </x:c>
      <x:c r="G141" s="39"/>
      <x:c r="H141" s="29" t="str">
        <x:v>MIS-004, WFL-006</x:v>
      </x:c>
      <x:c r="I141" s="39" t="str">
        <x:v>Not started</x:v>
      </x:c>
      <x:c r="J141" s="33" t="n">
        <x:f>IF(AND(I141="Done",N141&lt;&gt;""),1,0)</x:f>
        <x:v>0</x:v>
      </x:c>
      <x:c r="K141" s="29" t="str">
        <x:v>Changes create reviewed impact reports and evidence-linked migrations, not silent live mutations.</x:v>
      </x:c>
      <x:c r="L141" s="29" t="str">
        <x:v>services/workflow-runtime/simulation/ (proposed)</x:v>
      </x:c>
      <x:c r="M141" s="29" t="str">
        <x:v>AT-SIM-006</x:v>
      </x:c>
      <x:c r="N141" s="39"/>
      <x:c r="O141" s="41"/>
      <x:c r="P141" s="43"/>
      <x:c r="Q141" s="43"/>
      <x:c r="R141" s="29" t="str">
        <x:v>S01</x:v>
      </x:c>
      <x:c r="S141" s="39" t="str">
        <x:v>Proposed target paths; no repository implementation inspected. Completion requires linked evidence.</x:v>
      </x:c>
      <x:c r="T141" s="29" t="str">
        <x:f>IF(I141="Done",IF(N141="","MISSING EVIDENCE","Review evidence"),"Pending")</x:f>
        <x:v>Pending</x:v>
      </x:c>
      <x:c r="U141" s="29" t="str">
        <x:f>IF(AND(Q141&lt;&gt;"",Q141&lt;TODAY(),I141&lt;&gt;"Done"),"OVERDUE","")</x:f>
      </x:c>
    </x:row>
    <x:row r="142" ht="74" customHeight="1">
      <x:c r="A142" s="29" t="str">
        <x:v>SIM-007</x:v>
      </x:c>
      <x:c r="B142" s="29" t="str">
        <x:v>Journey twin and controlled change</x:v>
      </x:c>
      <x:c r="C142" s="29" t="str">
        <x:v>Workflow Doctor proposals</x:v>
      </x:c>
      <x:c r="D142" s="29" t="str">
        <x:v>G2</x:v>
      </x:c>
      <x:c r="E142" s="29" t="str">
        <x:v>P1</x:v>
      </x:c>
      <x:c r="F142" s="29" t="str">
        <x:v>Automation</x:v>
      </x:c>
      <x:c r="G142" s="39"/>
      <x:c r="H142" s="29" t="str">
        <x:v>MIS-004, WFL-006</x:v>
      </x:c>
      <x:c r="I142" s="39" t="str">
        <x:v>Not started</x:v>
      </x:c>
      <x:c r="J142" s="33" t="n">
        <x:f>IF(AND(I142="Done",N142&lt;&gt;""),1,0)</x:f>
        <x:v>0</x:v>
      </x:c>
      <x:c r="K142" s="29" t="str">
        <x:v>Repair candidates require schema validation, tests, simulation and authorized publication.</x:v>
      </x:c>
      <x:c r="L142" s="29" t="str">
        <x:v>services/workflow-runtime/simulation/ (proposed)</x:v>
      </x:c>
      <x:c r="M142" s="29" t="str">
        <x:v>AT-SIM-007</x:v>
      </x:c>
      <x:c r="N142" s="39"/>
      <x:c r="O142" s="41"/>
      <x:c r="P142" s="43"/>
      <x:c r="Q142" s="43"/>
      <x:c r="R142" s="29" t="str">
        <x:v>S01</x:v>
      </x:c>
      <x:c r="S142" s="39" t="str">
        <x:v>Proposed target paths; no repository implementation inspected. Completion requires linked evidence.</x:v>
      </x:c>
      <x:c r="T142" s="29" t="str">
        <x:f>IF(I142="Done",IF(N142="","MISSING EVIDENCE","Review evidence"),"Pending")</x:f>
        <x:v>Pending</x:v>
      </x:c>
      <x:c r="U142" s="29" t="str">
        <x:f>IF(AND(Q142&lt;&gt;"",Q142&lt;TODAY(),I142&lt;&gt;"Done"),"OVERDUE","")</x:f>
      </x:c>
    </x:row>
    <x:row r="143" ht="74" customHeight="1">
      <x:c r="A143" s="29" t="str">
        <x:v>SIM-008</x:v>
      </x:c>
      <x:c r="B143" s="29" t="str">
        <x:v>Journey twin and controlled change</x:v>
      </x:c>
      <x:c r="C143" s="29" t="str">
        <x:v>Cost and risk reports</x:v>
      </x:c>
      <x:c r="D143" s="29" t="str">
        <x:v>G2</x:v>
      </x:c>
      <x:c r="E143" s="29" t="str">
        <x:v>P1</x:v>
      </x:c>
      <x:c r="F143" s="29" t="str">
        <x:v>Automation</x:v>
      </x:c>
      <x:c r="G143" s="39"/>
      <x:c r="H143" s="29" t="str">
        <x:v>MIS-004, WFL-006</x:v>
      </x:c>
      <x:c r="I143" s="39" t="str">
        <x:v>Not started</x:v>
      </x:c>
      <x:c r="J143" s="33" t="n">
        <x:f>IF(AND(I143="Done",N143&lt;&gt;""),1,0)</x:f>
        <x:v>0</x:v>
      </x:c>
      <x:c r="K143" s="29" t="str">
        <x:v>Observed costs, scenario estimates and unknowns appear separately with assumptions and confidence limits.</x:v>
      </x:c>
      <x:c r="L143" s="29" t="str">
        <x:v>services/workflow-runtime/simulation/ (proposed)</x:v>
      </x:c>
      <x:c r="M143" s="29" t="str">
        <x:v>AT-SIM-008</x:v>
      </x:c>
      <x:c r="N143" s="39"/>
      <x:c r="O143" s="41"/>
      <x:c r="P143" s="43"/>
      <x:c r="Q143" s="43"/>
      <x:c r="R143" s="29" t="str">
        <x:v>S01</x:v>
      </x:c>
      <x:c r="S143" s="39" t="str">
        <x:v>Proposed target paths; no repository implementation inspected. Completion requires linked evidence.</x:v>
      </x:c>
      <x:c r="T143" s="29" t="str">
        <x:f>IF(I143="Done",IF(N143="","MISSING EVIDENCE","Review evidence"),"Pending")</x:f>
        <x:v>Pending</x:v>
      </x:c>
      <x:c r="U143" s="29" t="str">
        <x:f>IF(AND(Q143&lt;&gt;"",Q143&lt;TODAY(),I143&lt;&gt;"Done"),"OVERDUE","")</x:f>
      </x:c>
    </x:row>
    <x:row r="144" ht="74" customHeight="1">
      <x:c r="A144" s="29" t="str">
        <x:v>AIG-001</x:v>
      </x:c>
      <x:c r="B144" s="29" t="str">
        <x:v>AI agents and knowledge</x:v>
      </x:c>
      <x:c r="C144" s="29" t="str">
        <x:v>AI gateway and model policies</x:v>
      </x:c>
      <x:c r="D144" s="29" t="str">
        <x:v>G1</x:v>
      </x:c>
      <x:c r="E144" s="29" t="str">
        <x:v>P0</x:v>
      </x:c>
      <x:c r="F144" s="29" t="str">
        <x:v>AI</x:v>
      </x:c>
      <x:c r="G144" s="39"/>
      <x:c r="H144" s="29" t="str">
        <x:v>PLT-008, ACT-002</x:v>
      </x:c>
      <x:c r="I144" s="39" t="str">
        <x:v>Not started</x:v>
      </x:c>
      <x:c r="J144" s="33" t="n">
        <x:f>IF(AND(I144="Done",N144&lt;&gt;""),1,0)</x:f>
        <x:v>0</x:v>
      </x:c>
      <x:c r="K144" s="29" t="str">
        <x:v>Tenant allowlist, data processing terms, budget and egress restrictions gate every model request.</x:v>
      </x:c>
      <x:c r="L144" s="29" t="str">
        <x:v>services/ai-gateway/ (proposed)</x:v>
      </x:c>
      <x:c r="M144" s="29" t="str">
        <x:v>AT-AIG-001</x:v>
      </x:c>
      <x:c r="N144" s="39"/>
      <x:c r="O144" s="41"/>
      <x:c r="P144" s="43"/>
      <x:c r="Q144" s="43"/>
      <x:c r="R144" s="29" t="str">
        <x:v>S04,S29</x:v>
      </x:c>
      <x:c r="S144" s="39" t="str">
        <x:v>Proposed target paths; no repository implementation inspected. Completion requires linked evidence.</x:v>
      </x:c>
      <x:c r="T144" s="29" t="str">
        <x:f>IF(I144="Done",IF(N144="","MISSING EVIDENCE","Review evidence"),"Pending")</x:f>
        <x:v>Pending</x:v>
      </x:c>
      <x:c r="U144" s="29" t="str">
        <x:f>IF(AND(Q144&lt;&gt;"",Q144&lt;TODAY(),I144&lt;&gt;"Done"),"OVERDUE","")</x:f>
      </x:c>
    </x:row>
    <x:row r="145" ht="74" customHeight="1">
      <x:c r="A145" s="29" t="str">
        <x:v>AIG-002</x:v>
      </x:c>
      <x:c r="B145" s="29" t="str">
        <x:v>AI agents and knowledge</x:v>
      </x:c>
      <x:c r="C145" s="29" t="str">
        <x:v>BYOK and local model endpoints</x:v>
      </x:c>
      <x:c r="D145" s="29" t="str">
        <x:v>G2</x:v>
      </x:c>
      <x:c r="E145" s="29" t="str">
        <x:v>P1</x:v>
      </x:c>
      <x:c r="F145" s="29" t="str">
        <x:v>AI</x:v>
      </x:c>
      <x:c r="G145" s="39"/>
      <x:c r="H145" s="29" t="str">
        <x:v>PLT-008, ACT-002</x:v>
      </x:c>
      <x:c r="I145" s="39" t="str">
        <x:v>Not started</x:v>
      </x:c>
      <x:c r="J145" s="33" t="n">
        <x:f>IF(AND(I145="Done",N145&lt;&gt;""),1,0)</x:f>
        <x:v>0</x:v>
      </x:c>
      <x:c r="K145" s="29" t="str">
        <x:v>Keys use vault references; local-only routes never silently fall back to a public model.</x:v>
      </x:c>
      <x:c r="L145" s="29" t="str">
        <x:v>services/ai-gateway/ (proposed)</x:v>
      </x:c>
      <x:c r="M145" s="29" t="str">
        <x:v>AT-AIG-002</x:v>
      </x:c>
      <x:c r="N145" s="39"/>
      <x:c r="O145" s="41"/>
      <x:c r="P145" s="43"/>
      <x:c r="Q145" s="43"/>
      <x:c r="R145" s="29" t="str">
        <x:v>S04,S29</x:v>
      </x:c>
      <x:c r="S145" s="39" t="str">
        <x:v>Proposed target paths; no repository implementation inspected. Completion requires linked evidence.</x:v>
      </x:c>
      <x:c r="T145" s="29" t="str">
        <x:f>IF(I145="Done",IF(N145="","MISSING EVIDENCE","Review evidence"),"Pending")</x:f>
        <x:v>Pending</x:v>
      </x:c>
      <x:c r="U145" s="29" t="str">
        <x:f>IF(AND(Q145&lt;&gt;"",Q145&lt;TODAY(),I145&lt;&gt;"Done"),"OVERDUE","")</x:f>
      </x:c>
    </x:row>
    <x:row r="146" ht="74" customHeight="1">
      <x:c r="A146" s="29" t="str">
        <x:v>AIG-003</x:v>
      </x:c>
      <x:c r="B146" s="29" t="str">
        <x:v>AI agents and knowledge</x:v>
      </x:c>
      <x:c r="C146" s="29" t="str">
        <x:v>Model routing and bounded fallbacks</x:v>
      </x:c>
      <x:c r="D146" s="29" t="str">
        <x:v>G1</x:v>
      </x:c>
      <x:c r="E146" s="29" t="str">
        <x:v>P0</x:v>
      </x:c>
      <x:c r="F146" s="29" t="str">
        <x:v>AI</x:v>
      </x:c>
      <x:c r="G146" s="39"/>
      <x:c r="H146" s="29" t="str">
        <x:v>PLT-008, ACT-002</x:v>
      </x:c>
      <x:c r="I146" s="39" t="str">
        <x:v>Not started</x:v>
      </x:c>
      <x:c r="J146" s="33" t="n">
        <x:f>IF(AND(I146="Done",N146&lt;&gt;""),1,0)</x:f>
        <x:v>0</x:v>
      </x:c>
      <x:c r="K146" s="29" t="str">
        <x:v>Timeout/circuit-breaker routing respects privacy, region and model capability restrictions.</x:v>
      </x:c>
      <x:c r="L146" s="29" t="str">
        <x:v>services/ai-gateway/ (proposed)</x:v>
      </x:c>
      <x:c r="M146" s="29" t="str">
        <x:v>AT-AIG-003</x:v>
      </x:c>
      <x:c r="N146" s="39"/>
      <x:c r="O146" s="41"/>
      <x:c r="P146" s="43"/>
      <x:c r="Q146" s="43"/>
      <x:c r="R146" s="29" t="str">
        <x:v>S04,S29</x:v>
      </x:c>
      <x:c r="S146" s="39" t="str">
        <x:v>Proposed target paths; no repository implementation inspected. Completion requires linked evidence.</x:v>
      </x:c>
      <x:c r="T146" s="29" t="str">
        <x:f>IF(I146="Done",IF(N146="","MISSING EVIDENCE","Review evidence"),"Pending")</x:f>
        <x:v>Pending</x:v>
      </x:c>
      <x:c r="U146" s="29" t="str">
        <x:f>IF(AND(Q146&lt;&gt;"",Q146&lt;TODAY(),I146&lt;&gt;"Done"),"OVERDUE","")</x:f>
      </x:c>
    </x:row>
    <x:row r="147" ht="74" customHeight="1">
      <x:c r="A147" s="29" t="str">
        <x:v>AIG-004</x:v>
      </x:c>
      <x:c r="B147" s="29" t="str">
        <x:v>AI agents and knowledge</x:v>
      </x:c>
      <x:c r="C147" s="29" t="str">
        <x:v>Agent roles and tool permissions</x:v>
      </x:c>
      <x:c r="D147" s="29" t="str">
        <x:v>G1</x:v>
      </x:c>
      <x:c r="E147" s="29" t="str">
        <x:v>P0</x:v>
      </x:c>
      <x:c r="F147" s="29" t="str">
        <x:v>AI</x:v>
      </x:c>
      <x:c r="G147" s="39"/>
      <x:c r="H147" s="29" t="str">
        <x:v>PLT-008, ACT-002</x:v>
      </x:c>
      <x:c r="I147" s="39" t="str">
        <x:v>Not started</x:v>
      </x:c>
      <x:c r="J147" s="33" t="n">
        <x:f>IF(AND(I147="Done",N147&lt;&gt;""),1,0)</x:f>
        <x:v>0</x:v>
      </x:c>
      <x:c r="K147" s="29" t="str">
        <x:v>Agent roles cannot mint wider scopes; tool calls use explicit action contracts.</x:v>
      </x:c>
      <x:c r="L147" s="29" t="str">
        <x:v>services/ai-gateway/ (proposed)</x:v>
      </x:c>
      <x:c r="M147" s="29" t="str">
        <x:v>AT-AIG-004</x:v>
      </x:c>
      <x:c r="N147" s="39"/>
      <x:c r="O147" s="41"/>
      <x:c r="P147" s="43"/>
      <x:c r="Q147" s="43"/>
      <x:c r="R147" s="29" t="str">
        <x:v>S04,S29</x:v>
      </x:c>
      <x:c r="S147" s="39" t="str">
        <x:v>Proposed target paths; no repository implementation inspected. Completion requires linked evidence.</x:v>
      </x:c>
      <x:c r="T147" s="29" t="str">
        <x:f>IF(I147="Done",IF(N147="","MISSING EVIDENCE","Review evidence"),"Pending")</x:f>
        <x:v>Pending</x:v>
      </x:c>
      <x:c r="U147" s="29" t="str">
        <x:f>IF(AND(Q147&lt;&gt;"",Q147&lt;TODAY(),I147&lt;&gt;"Done"),"OVERDUE","")</x:f>
      </x:c>
    </x:row>
    <x:row r="148" ht="74" customHeight="1">
      <x:c r="A148" s="29" t="str">
        <x:v>AIG-005</x:v>
      </x:c>
      <x:c r="B148" s="29" t="str">
        <x:v>AI agents and knowledge</x:v>
      </x:c>
      <x:c r="C148" s="29" t="str">
        <x:v>Agent teams and human handoff</x:v>
      </x:c>
      <x:c r="D148" s="29" t="str">
        <x:v>G2</x:v>
      </x:c>
      <x:c r="E148" s="29" t="str">
        <x:v>P1</x:v>
      </x:c>
      <x:c r="F148" s="29" t="str">
        <x:v>AI</x:v>
      </x:c>
      <x:c r="G148" s="39"/>
      <x:c r="H148" s="29" t="str">
        <x:v>PLT-008, ACT-002</x:v>
      </x:c>
      <x:c r="I148" s="39" t="str">
        <x:v>Not started</x:v>
      </x:c>
      <x:c r="J148" s="33" t="n">
        <x:f>IF(AND(I148="Done",N148&lt;&gt;""),1,0)</x:f>
        <x:v>0</x:v>
      </x:c>
      <x:c r="K148" s="29" t="str">
        <x:v>Delegation remains bounded; humans receive context and take exclusive conversation control.</x:v>
      </x:c>
      <x:c r="L148" s="29" t="str">
        <x:v>services/ai-gateway/ (proposed)</x:v>
      </x:c>
      <x:c r="M148" s="29" t="str">
        <x:v>AT-AIG-005</x:v>
      </x:c>
      <x:c r="N148" s="39"/>
      <x:c r="O148" s="41"/>
      <x:c r="P148" s="43"/>
      <x:c r="Q148" s="43"/>
      <x:c r="R148" s="29" t="str">
        <x:v>S04,S29</x:v>
      </x:c>
      <x:c r="S148" s="39" t="str">
        <x:v>Proposed target paths; no repository implementation inspected. Completion requires linked evidence.</x:v>
      </x:c>
      <x:c r="T148" s="29" t="str">
        <x:f>IF(I148="Done",IF(N148="","MISSING EVIDENCE","Review evidence"),"Pending")</x:f>
        <x:v>Pending</x:v>
      </x:c>
      <x:c r="U148" s="29" t="str">
        <x:f>IF(AND(Q148&lt;&gt;"",Q148&lt;TODAY(),I148&lt;&gt;"Done"),"OVERDUE","")</x:f>
      </x:c>
    </x:row>
    <x:row r="149" ht="74" customHeight="1">
      <x:c r="A149" s="29" t="str">
        <x:v>AIG-006</x:v>
      </x:c>
      <x:c r="B149" s="29" t="str">
        <x:v>AI agents and knowledge</x:v>
      </x:c>
      <x:c r="C149" s="29" t="str">
        <x:v>Knowledge ingestion and file parsing</x:v>
      </x:c>
      <x:c r="D149" s="29" t="str">
        <x:v>G1</x:v>
      </x:c>
      <x:c r="E149" s="29" t="str">
        <x:v>P0</x:v>
      </x:c>
      <x:c r="F149" s="29" t="str">
        <x:v>AI</x:v>
      </x:c>
      <x:c r="G149" s="39"/>
      <x:c r="H149" s="29" t="str">
        <x:v>PLT-008, ACT-002</x:v>
      </x:c>
      <x:c r="I149" s="39" t="str">
        <x:v>Not started</x:v>
      </x:c>
      <x:c r="J149" s="33" t="n">
        <x:f>IF(AND(I149="Done",N149&lt;&gt;""),1,0)</x:f>
        <x:v>0</x:v>
      </x:c>
      <x:c r="K149" s="29" t="str">
        <x:v>Parser sandbox scans files, handles errors and records document ACL/version/retention.</x:v>
      </x:c>
      <x:c r="L149" s="29" t="str">
        <x:v>services/ai-gateway/ (proposed)</x:v>
      </x:c>
      <x:c r="M149" s="29" t="str">
        <x:v>AT-AIG-006</x:v>
      </x:c>
      <x:c r="N149" s="39"/>
      <x:c r="O149" s="41"/>
      <x:c r="P149" s="43"/>
      <x:c r="Q149" s="43"/>
      <x:c r="R149" s="29" t="str">
        <x:v>S04,S29</x:v>
      </x:c>
      <x:c r="S149" s="39" t="str">
        <x:v>Proposed target paths; no repository implementation inspected. Completion requires linked evidence.</x:v>
      </x:c>
      <x:c r="T149" s="29" t="str">
        <x:f>IF(I149="Done",IF(N149="","MISSING EVIDENCE","Review evidence"),"Pending")</x:f>
        <x:v>Pending</x:v>
      </x:c>
      <x:c r="U149" s="29" t="str">
        <x:f>IF(AND(Q149&lt;&gt;"",Q149&lt;TODAY(),I149&lt;&gt;"Done"),"OVERDUE","")</x:f>
      </x:c>
    </x:row>
    <x:row r="150" ht="74" customHeight="1">
      <x:c r="A150" s="29" t="str">
        <x:v>AIG-007</x:v>
      </x:c>
      <x:c r="B150" s="29" t="str">
        <x:v>AI agents and knowledge</x:v>
      </x:c>
      <x:c r="C150" s="29" t="str">
        <x:v>Hybrid retrieval and citations</x:v>
      </x:c>
      <x:c r="D150" s="29" t="str">
        <x:v>G1</x:v>
      </x:c>
      <x:c r="E150" s="29" t="str">
        <x:v>P0</x:v>
      </x:c>
      <x:c r="F150" s="29" t="str">
        <x:v>AI</x:v>
      </x:c>
      <x:c r="G150" s="39"/>
      <x:c r="H150" s="29" t="str">
        <x:v>PLT-008, ACT-002</x:v>
      </x:c>
      <x:c r="I150" s="39" t="str">
        <x:v>Not started</x:v>
      </x:c>
      <x:c r="J150" s="33" t="n">
        <x:f>IF(AND(I150="Done",N150&lt;&gt;""),1,0)</x:f>
        <x:v>0</x:v>
      </x:c>
      <x:c r="K150" s="29" t="str">
        <x:v>Tenant/ACL filters apply before retrieval and reranking; outputs cite accessible source passages.</x:v>
      </x:c>
      <x:c r="L150" s="29" t="str">
        <x:v>services/ai-gateway/ (proposed)</x:v>
      </x:c>
      <x:c r="M150" s="29" t="str">
        <x:v>AT-AIG-007</x:v>
      </x:c>
      <x:c r="N150" s="39"/>
      <x:c r="O150" s="41"/>
      <x:c r="P150" s="43"/>
      <x:c r="Q150" s="43"/>
      <x:c r="R150" s="29" t="str">
        <x:v>S04,S29</x:v>
      </x:c>
      <x:c r="S150" s="39" t="str">
        <x:v>Proposed target paths; no repository implementation inspected. Completion requires linked evidence.</x:v>
      </x:c>
      <x:c r="T150" s="29" t="str">
        <x:f>IF(I150="Done",IF(N150="","MISSING EVIDENCE","Review evidence"),"Pending")</x:f>
        <x:v>Pending</x:v>
      </x:c>
      <x:c r="U150" s="29" t="str">
        <x:f>IF(AND(Q150&lt;&gt;"",Q150&lt;TODAY(),I150&lt;&gt;"Done"),"OVERDUE","")</x:f>
      </x:c>
    </x:row>
    <x:row r="151" ht="74" customHeight="1">
      <x:c r="A151" s="29" t="str">
        <x:v>AIG-008</x:v>
      </x:c>
      <x:c r="B151" s="29" t="str">
        <x:v>AI agents and knowledge</x:v>
      </x:c>
      <x:c r="C151" s="29" t="str">
        <x:v>Tenant answer caching</x:v>
      </x:c>
      <x:c r="D151" s="29" t="str">
        <x:v>G1</x:v>
      </x:c>
      <x:c r="E151" s="29" t="str">
        <x:v>P0</x:v>
      </x:c>
      <x:c r="F151" s="29" t="str">
        <x:v>AI</x:v>
      </x:c>
      <x:c r="G151" s="39"/>
      <x:c r="H151" s="29" t="str">
        <x:v>PLT-008, ACT-002</x:v>
      </x:c>
      <x:c r="I151" s="39" t="str">
        <x:v>Not started</x:v>
      </x:c>
      <x:c r="J151" s="33" t="n">
        <x:f>IF(AND(I151="Done",N151&lt;&gt;""),1,0)</x:f>
        <x:v>0</x:v>
      </x:c>
      <x:c r="K151" s="29" t="str">
        <x:v>Cache key includes tenant, ACL, knowledge/model/prompt versions and freshness; live facts bypass reuse.</x:v>
      </x:c>
      <x:c r="L151" s="29" t="str">
        <x:v>services/ai-gateway/ (proposed)</x:v>
      </x:c>
      <x:c r="M151" s="29" t="str">
        <x:v>AT-AIG-008</x:v>
      </x:c>
      <x:c r="N151" s="39"/>
      <x:c r="O151" s="41"/>
      <x:c r="P151" s="43"/>
      <x:c r="Q151" s="43"/>
      <x:c r="R151" s="29" t="str">
        <x:v>S04,S29</x:v>
      </x:c>
      <x:c r="S151" s="39" t="str">
        <x:v>Proposed target paths; no repository implementation inspected. Completion requires linked evidence.</x:v>
      </x:c>
      <x:c r="T151" s="29" t="str">
        <x:f>IF(I151="Done",IF(N151="","MISSING EVIDENCE","Review evidence"),"Pending")</x:f>
        <x:v>Pending</x:v>
      </x:c>
      <x:c r="U151" s="29" t="str">
        <x:f>IF(AND(Q151&lt;&gt;"",Q151&lt;TODAY(),I151&lt;&gt;"Done"),"OVERDUE","")</x:f>
      </x:c>
    </x:row>
    <x:row r="152" ht="74" customHeight="1">
      <x:c r="A152" s="29" t="str">
        <x:v>AIG-009</x:v>
      </x:c>
      <x:c r="B152" s="29" t="str">
        <x:v>AI agents and knowledge</x:v>
      </x:c>
      <x:c r="C152" s="29" t="str">
        <x:v>Structured generation and validation</x:v>
      </x:c>
      <x:c r="D152" s="29" t="str">
        <x:v>G1</x:v>
      </x:c>
      <x:c r="E152" s="29" t="str">
        <x:v>P0</x:v>
      </x:c>
      <x:c r="F152" s="29" t="str">
        <x:v>AI</x:v>
      </x:c>
      <x:c r="G152" s="39"/>
      <x:c r="H152" s="29" t="str">
        <x:v>PLT-008, ACT-002</x:v>
      </x:c>
      <x:c r="I152" s="39" t="str">
        <x:v>Not started</x:v>
      </x:c>
      <x:c r="J152" s="33" t="n">
        <x:f>IF(AND(I152="Done",N152&lt;&gt;""),1,0)</x:f>
        <x:v>0</x:v>
      </x:c>
      <x:c r="K152" s="29" t="str">
        <x:v>Invalid tool arguments and unsupported claims are rejected or escalated.</x:v>
      </x:c>
      <x:c r="L152" s="29" t="str">
        <x:v>services/ai-gateway/ (proposed)</x:v>
      </x:c>
      <x:c r="M152" s="29" t="str">
        <x:v>AT-AIG-009</x:v>
      </x:c>
      <x:c r="N152" s="39"/>
      <x:c r="O152" s="41"/>
      <x:c r="P152" s="43"/>
      <x:c r="Q152" s="43"/>
      <x:c r="R152" s="29" t="str">
        <x:v>S04,S29</x:v>
      </x:c>
      <x:c r="S152" s="39" t="str">
        <x:v>Proposed target paths; no repository implementation inspected. Completion requires linked evidence.</x:v>
      </x:c>
      <x:c r="T152" s="29" t="str">
        <x:f>IF(I152="Done",IF(N152="","MISSING EVIDENCE","Review evidence"),"Pending")</x:f>
        <x:v>Pending</x:v>
      </x:c>
      <x:c r="U152" s="29" t="str">
        <x:f>IF(AND(Q152&lt;&gt;"",Q152&lt;TODAY(),I152&lt;&gt;"Done"),"OVERDUE","")</x:f>
      </x:c>
    </x:row>
    <x:row r="153" ht="74" customHeight="1">
      <x:c r="A153" s="29" t="str">
        <x:v>AIG-010</x:v>
      </x:c>
      <x:c r="B153" s="29" t="str">
        <x:v>AI agents and knowledge</x:v>
      </x:c>
      <x:c r="C153" s="29" t="str">
        <x:v>Prompt injection and exfiltration defense</x:v>
      </x:c>
      <x:c r="D153" s="29" t="str">
        <x:v>G1</x:v>
      </x:c>
      <x:c r="E153" s="29" t="str">
        <x:v>P0</x:v>
      </x:c>
      <x:c r="F153" s="29" t="str">
        <x:v>AI</x:v>
      </x:c>
      <x:c r="G153" s="39"/>
      <x:c r="H153" s="29" t="str">
        <x:v>PLT-008, ACT-002</x:v>
      </x:c>
      <x:c r="I153" s="39" t="str">
        <x:v>Not started</x:v>
      </x:c>
      <x:c r="J153" s="33" t="n">
        <x:f>IF(AND(I153="Done",N153&lt;&gt;""),1,0)</x:f>
        <x:v>0</x:v>
      </x:c>
      <x:c r="K153" s="29" t="str">
        <x:v>Untrusted content cannot alter tool permissions or leak keys/customer data.</x:v>
      </x:c>
      <x:c r="L153" s="29" t="str">
        <x:v>services/ai-gateway/ (proposed)</x:v>
      </x:c>
      <x:c r="M153" s="29" t="str">
        <x:v>AT-AIG-010</x:v>
      </x:c>
      <x:c r="N153" s="39"/>
      <x:c r="O153" s="41"/>
      <x:c r="P153" s="43"/>
      <x:c r="Q153" s="43"/>
      <x:c r="R153" s="29" t="str">
        <x:v>S04,S29</x:v>
      </x:c>
      <x:c r="S153" s="39" t="str">
        <x:v>Proposed target paths; no repository implementation inspected. Completion requires linked evidence.</x:v>
      </x:c>
      <x:c r="T153" s="29" t="str">
        <x:f>IF(I153="Done",IF(N153="","MISSING EVIDENCE","Review evidence"),"Pending")</x:f>
        <x:v>Pending</x:v>
      </x:c>
      <x:c r="U153" s="29" t="str">
        <x:f>IF(AND(Q153&lt;&gt;"",Q153&lt;TODAY(),I153&lt;&gt;"Done"),"OVERDUE","")</x:f>
      </x:c>
    </x:row>
    <x:row r="154" ht="74" customHeight="1">
      <x:c r="A154" s="29" t="str">
        <x:v>AIG-011</x:v>
      </x:c>
      <x:c r="B154" s="29" t="str">
        <x:v>AI agents and knowledge</x:v>
      </x:c>
      <x:c r="C154" s="29" t="str">
        <x:v>Agent evaluations and approval</x:v>
      </x:c>
      <x:c r="D154" s="29" t="str">
        <x:v>G1</x:v>
      </x:c>
      <x:c r="E154" s="29" t="str">
        <x:v>P0</x:v>
      </x:c>
      <x:c r="F154" s="29" t="str">
        <x:v>AI</x:v>
      </x:c>
      <x:c r="G154" s="39"/>
      <x:c r="H154" s="29" t="str">
        <x:v>PLT-008, ACT-002</x:v>
      </x:c>
      <x:c r="I154" s="39" t="str">
        <x:v>Not started</x:v>
      </x:c>
      <x:c r="J154" s="33" t="n">
        <x:f>IF(AND(I154="Done",N154&lt;&gt;""),1,0)</x:f>
        <x:v>0</x:v>
      </x:c>
      <x:c r="K154" s="29" t="str">
        <x:v>Representative regression and adversarial sets precede autonomy increases.</x:v>
      </x:c>
      <x:c r="L154" s="29" t="str">
        <x:v>services/ai-gateway/ (proposed)</x:v>
      </x:c>
      <x:c r="M154" s="29" t="str">
        <x:v>AT-AIG-011</x:v>
      </x:c>
      <x:c r="N154" s="39"/>
      <x:c r="O154" s="41"/>
      <x:c r="P154" s="43"/>
      <x:c r="Q154" s="43"/>
      <x:c r="R154" s="29" t="str">
        <x:v>S04,S29</x:v>
      </x:c>
      <x:c r="S154" s="39" t="str">
        <x:v>Proposed target paths; no repository implementation inspected. Completion requires linked evidence.</x:v>
      </x:c>
      <x:c r="T154" s="29" t="str">
        <x:f>IF(I154="Done",IF(N154="","MISSING EVIDENCE","Review evidence"),"Pending")</x:f>
        <x:v>Pending</x:v>
      </x:c>
      <x:c r="U154" s="29" t="str">
        <x:f>IF(AND(Q154&lt;&gt;"",Q154&lt;TODAY(),I154&lt;&gt;"Done"),"OVERDUE","")</x:f>
      </x:c>
    </x:row>
    <x:row r="155" ht="74" customHeight="1">
      <x:c r="A155" s="29" t="str">
        <x:v>AIG-012</x:v>
      </x:c>
      <x:c r="B155" s="29" t="str">
        <x:v>AI agents and knowledge</x:v>
      </x:c>
      <x:c r="C155" s="29" t="str">
        <x:v>AI data-use enforcement</x:v>
      </x:c>
      <x:c r="D155" s="29" t="str">
        <x:v>G1</x:v>
      </x:c>
      <x:c r="E155" s="29" t="str">
        <x:v>P0</x:v>
      </x:c>
      <x:c r="F155" s="29" t="str">
        <x:v>AI</x:v>
      </x:c>
      <x:c r="G155" s="39"/>
      <x:c r="H155" s="29" t="str">
        <x:v>PLT-008, ACT-002</x:v>
      </x:c>
      <x:c r="I155" s="39" t="str">
        <x:v>Not started</x:v>
      </x:c>
      <x:c r="J155" s="33" t="n">
        <x:f>IF(AND(I155="Done",N155&lt;&gt;""),1,0)</x:f>
        <x:v>0</x:v>
      </x:c>
      <x:c r="K155" s="29" t="str">
        <x:v>No pooled training/improvement from restricted provider data; allowed uses require recorded legal approval.</x:v>
      </x:c>
      <x:c r="L155" s="29" t="str">
        <x:v>services/ai-gateway/ (proposed)</x:v>
      </x:c>
      <x:c r="M155" s="29" t="str">
        <x:v>AT-AIG-012</x:v>
      </x:c>
      <x:c r="N155" s="39"/>
      <x:c r="O155" s="41"/>
      <x:c r="P155" s="43"/>
      <x:c r="Q155" s="43"/>
      <x:c r="R155" s="29" t="str">
        <x:v>S04,S29</x:v>
      </x:c>
      <x:c r="S155" s="39" t="str">
        <x:v>Proposed target paths; no repository implementation inspected. Completion requires linked evidence.</x:v>
      </x:c>
      <x:c r="T155" s="29" t="str">
        <x:f>IF(I155="Done",IF(N155="","MISSING EVIDENCE","Review evidence"),"Pending")</x:f>
        <x:v>Pending</x:v>
      </x:c>
      <x:c r="U155" s="29" t="str">
        <x:f>IF(AND(Q155&lt;&gt;"",Q155&lt;TODAY(),I155&lt;&gt;"Done"),"OVERDUE","")</x:f>
      </x:c>
    </x:row>
    <x:row r="156" ht="74" customHeight="1">
      <x:c r="A156" s="29" t="str">
        <x:v>INT-001</x:v>
      </x:c>
      <x:c r="B156" s="29" t="str">
        <x:v>Integration platform</x:v>
      </x:c>
      <x:c r="C156" s="29" t="str">
        <x:v>Connector SDK and manifests</x:v>
      </x:c>
      <x:c r="D156" s="29" t="str">
        <x:v>G1</x:v>
      </x:c>
      <x:c r="E156" s="29" t="str">
        <x:v>P0</x:v>
      </x:c>
      <x:c r="F156" s="29" t="str">
        <x:v>Integrations</x:v>
      </x:c>
      <x:c r="G156" s="39"/>
      <x:c r="H156" s="29" t="str">
        <x:v>PLT-008, ACT-002</x:v>
      </x:c>
      <x:c r="I156" s="39" t="str">
        <x:v>Not started</x:v>
      </x:c>
      <x:c r="J156" s="33" t="n">
        <x:f>IF(AND(I156="Done",N156&lt;&gt;""),1,0)</x:f>
        <x:v>0</x:v>
      </x:c>
      <x:c r="K156" s="29" t="str">
        <x:v>Auth, schemas, limits, effects, health, error and version contracts pass certification.</x:v>
      </x:c>
      <x:c r="L156" s="29" t="str">
        <x:v>services/integration-workers/; packages/connector-sdk/ (proposed)</x:v>
      </x:c>
      <x:c r="M156" s="29" t="str">
        <x:v>AT-INT-001</x:v>
      </x:c>
      <x:c r="N156" s="39"/>
      <x:c r="O156" s="41"/>
      <x:c r="P156" s="43"/>
      <x:c r="Q156" s="43"/>
      <x:c r="R156" s="29" t="str">
        <x:v>S01,S31</x:v>
      </x:c>
      <x:c r="S156" s="39" t="str">
        <x:v>Proposed target paths; no repository implementation inspected. Completion requires linked evidence.</x:v>
      </x:c>
      <x:c r="T156" s="29" t="str">
        <x:f>IF(I156="Done",IF(N156="","MISSING EVIDENCE","Review evidence"),"Pending")</x:f>
        <x:v>Pending</x:v>
      </x:c>
      <x:c r="U156" s="29" t="str">
        <x:f>IF(AND(Q156&lt;&gt;"",Q156&lt;TODAY(),I156&lt;&gt;"Done"),"OVERDUE","")</x:f>
      </x:c>
    </x:row>
    <x:row r="157" ht="74" customHeight="1">
      <x:c r="A157" s="29" t="str">
        <x:v>INT-002</x:v>
      </x:c>
      <x:c r="B157" s="29" t="str">
        <x:v>Integration platform</x:v>
      </x:c>
      <x:c r="C157" s="29" t="str">
        <x:v>OAuth connection manager</x:v>
      </x:c>
      <x:c r="D157" s="29" t="str">
        <x:v>G1</x:v>
      </x:c>
      <x:c r="E157" s="29" t="str">
        <x:v>P0</x:v>
      </x:c>
      <x:c r="F157" s="29" t="str">
        <x:v>Integrations</x:v>
      </x:c>
      <x:c r="G157" s="39"/>
      <x:c r="H157" s="29" t="str">
        <x:v>PLT-008, ACT-002</x:v>
      </x:c>
      <x:c r="I157" s="39" t="str">
        <x:v>Not started</x:v>
      </x:c>
      <x:c r="J157" s="33" t="n">
        <x:f>IF(AND(I157="Done",N157&lt;&gt;""),1,0)</x:f>
        <x:v>0</x:v>
      </x:c>
      <x:c r="K157" s="29" t="str">
        <x:v>State, PKCE where supported, scope checks and single-flight token refresh are tested.</x:v>
      </x:c>
      <x:c r="L157" s="29" t="str">
        <x:v>services/integration-workers/; packages/connector-sdk/ (proposed)</x:v>
      </x:c>
      <x:c r="M157" s="29" t="str">
        <x:v>AT-INT-002</x:v>
      </x:c>
      <x:c r="N157" s="39"/>
      <x:c r="O157" s="41"/>
      <x:c r="P157" s="43"/>
      <x:c r="Q157" s="43"/>
      <x:c r="R157" s="29" t="str">
        <x:v>S01,S31</x:v>
      </x:c>
      <x:c r="S157" s="39" t="str">
        <x:v>Proposed target paths; no repository implementation inspected. Completion requires linked evidence.</x:v>
      </x:c>
      <x:c r="T157" s="29" t="str">
        <x:f>IF(I157="Done",IF(N157="","MISSING EVIDENCE","Review evidence"),"Pending")</x:f>
        <x:v>Pending</x:v>
      </x:c>
      <x:c r="U157" s="29" t="str">
        <x:f>IF(AND(Q157&lt;&gt;"",Q157&lt;TODAY(),I157&lt;&gt;"Done"),"OVERDUE","")</x:f>
      </x:c>
    </x:row>
    <x:row r="158" ht="74" customHeight="1">
      <x:c r="A158" s="29" t="str">
        <x:v>INT-003</x:v>
      </x:c>
      <x:c r="B158" s="29" t="str">
        <x:v>Integration platform</x:v>
      </x:c>
      <x:c r="C158" s="29" t="str">
        <x:v>OpenAPI private connector builder</x:v>
      </x:c>
      <x:c r="D158" s="29" t="str">
        <x:v>G2</x:v>
      </x:c>
      <x:c r="E158" s="29" t="str">
        <x:v>P1</x:v>
      </x:c>
      <x:c r="F158" s="29" t="str">
        <x:v>Integrations</x:v>
      </x:c>
      <x:c r="G158" s="39"/>
      <x:c r="H158" s="29" t="str">
        <x:v>PLT-008, ACT-002</x:v>
      </x:c>
      <x:c r="I158" s="39" t="str">
        <x:v>Not started</x:v>
      </x:c>
      <x:c r="J158" s="33" t="n">
        <x:f>IF(AND(I158="Done",N158&lt;&gt;""),1,0)</x:f>
        <x:v>0</x:v>
      </x:c>
      <x:c r="K158" s="29" t="str">
        <x:v>Import produces a draft; auth ambiguity and unsupported webhooks require developer configuration.</x:v>
      </x:c>
      <x:c r="L158" s="29" t="str">
        <x:v>services/integration-workers/; packages/connector-sdk/ (proposed)</x:v>
      </x:c>
      <x:c r="M158" s="29" t="str">
        <x:v>AT-INT-003</x:v>
      </x:c>
      <x:c r="N158" s="39"/>
      <x:c r="O158" s="41"/>
      <x:c r="P158" s="43"/>
      <x:c r="Q158" s="43"/>
      <x:c r="R158" s="29" t="str">
        <x:v>S01,S31</x:v>
      </x:c>
      <x:c r="S158" s="39" t="str">
        <x:v>Proposed target paths; no repository implementation inspected. Completion requires linked evidence.</x:v>
      </x:c>
      <x:c r="T158" s="29" t="str">
        <x:f>IF(I158="Done",IF(N158="","MISSING EVIDENCE","Review evidence"),"Pending")</x:f>
        <x:v>Pending</x:v>
      </x:c>
      <x:c r="U158" s="29" t="str">
        <x:f>IF(AND(Q158&lt;&gt;"",Q158&lt;TODAY(),I158&lt;&gt;"Done"),"OVERDUE","")</x:f>
      </x:c>
    </x:row>
    <x:row r="159" ht="74" customHeight="1">
      <x:c r="A159" s="29" t="str">
        <x:v>INT-004</x:v>
      </x:c>
      <x:c r="B159" s="29" t="str">
        <x:v>Integration platform</x:v>
      </x:c>
      <x:c r="C159" s="29" t="str">
        <x:v>Generic HTTP action</x:v>
      </x:c>
      <x:c r="D159" s="29" t="str">
        <x:v>G1</x:v>
      </x:c>
      <x:c r="E159" s="29" t="str">
        <x:v>P0</x:v>
      </x:c>
      <x:c r="F159" s="29" t="str">
        <x:v>Integrations</x:v>
      </x:c>
      <x:c r="G159" s="39"/>
      <x:c r="H159" s="29" t="str">
        <x:v>PLT-008, ACT-002</x:v>
      </x:c>
      <x:c r="I159" s="39" t="str">
        <x:v>Not started</x:v>
      </x:c>
      <x:c r="J159" s="33" t="n">
        <x:f>IF(AND(I159="Done",N159&lt;&gt;""),1,0)</x:f>
        <x:v>0</x:v>
      </x:c>
      <x:c r="K159" s="29" t="str">
        <x:v>URL, response size, timeout and egress policy enforced; secrets are injected only for allowed hosts.</x:v>
      </x:c>
      <x:c r="L159" s="29" t="str">
        <x:v>services/integration-workers/; packages/connector-sdk/ (proposed)</x:v>
      </x:c>
      <x:c r="M159" s="29" t="str">
        <x:v>AT-INT-004</x:v>
      </x:c>
      <x:c r="N159" s="39"/>
      <x:c r="O159" s="41"/>
      <x:c r="P159" s="43"/>
      <x:c r="Q159" s="43"/>
      <x:c r="R159" s="29" t="str">
        <x:v>S01,S31</x:v>
      </x:c>
      <x:c r="S159" s="39" t="str">
        <x:v>Proposed target paths; no repository implementation inspected. Completion requires linked evidence.</x:v>
      </x:c>
      <x:c r="T159" s="29" t="str">
        <x:f>IF(I159="Done",IF(N159="","MISSING EVIDENCE","Review evidence"),"Pending")</x:f>
        <x:v>Pending</x:v>
      </x:c>
      <x:c r="U159" s="29" t="str">
        <x:f>IF(AND(Q159&lt;&gt;"",Q159&lt;TODAY(),I159&lt;&gt;"Done"),"OVERDUE","")</x:f>
      </x:c>
    </x:row>
    <x:row r="160" ht="74" customHeight="1">
      <x:c r="A160" s="29" t="str">
        <x:v>INT-005</x:v>
      </x:c>
      <x:c r="B160" s="29" t="str">
        <x:v>Integration platform</x:v>
      </x:c>
      <x:c r="C160" s="29" t="str">
        <x:v>CRM connector pack</x:v>
      </x:c>
      <x:c r="D160" s="29" t="str">
        <x:v>G1</x:v>
      </x:c>
      <x:c r="E160" s="29" t="str">
        <x:v>P0</x:v>
      </x:c>
      <x:c r="F160" s="29" t="str">
        <x:v>Integrations</x:v>
      </x:c>
      <x:c r="G160" s="39"/>
      <x:c r="H160" s="29" t="str">
        <x:v>PLT-008, ACT-002</x:v>
      </x:c>
      <x:c r="I160" s="39" t="str">
        <x:v>Not started</x:v>
      </x:c>
      <x:c r="J160" s="33" t="n">
        <x:f>IF(AND(I160="Done",N160&lt;&gt;""),1,0)</x:f>
        <x:v>0</x:v>
      </x:c>
      <x:c r="K160" s="29" t="str">
        <x:v>Salesforce, HubSpot and Zoho actions are certified against sandbox fixtures and field ownership rules.</x:v>
      </x:c>
      <x:c r="L160" s="29" t="str">
        <x:v>services/integration-workers/; packages/connector-sdk/ (proposed)</x:v>
      </x:c>
      <x:c r="M160" s="29" t="str">
        <x:v>AT-INT-005</x:v>
      </x:c>
      <x:c r="N160" s="39"/>
      <x:c r="O160" s="41"/>
      <x:c r="P160" s="43"/>
      <x:c r="Q160" s="43"/>
      <x:c r="R160" s="29" t="str">
        <x:v>S01,S31</x:v>
      </x:c>
      <x:c r="S160" s="39" t="str">
        <x:v>Proposed target paths; no repository implementation inspected. Completion requires linked evidence.</x:v>
      </x:c>
      <x:c r="T160" s="29" t="str">
        <x:f>IF(I160="Done",IF(N160="","MISSING EVIDENCE","Review evidence"),"Pending")</x:f>
        <x:v>Pending</x:v>
      </x:c>
      <x:c r="U160" s="29" t="str">
        <x:f>IF(AND(Q160&lt;&gt;"",Q160&lt;TODAY(),I160&lt;&gt;"Done"),"OVERDUE","")</x:f>
      </x:c>
    </x:row>
    <x:row r="161" ht="74" customHeight="1">
      <x:c r="A161" s="29" t="str">
        <x:v>INT-006</x:v>
      </x:c>
      <x:c r="B161" s="29" t="str">
        <x:v>Integration platform</x:v>
      </x:c>
      <x:c r="C161" s="29" t="str">
        <x:v>Commerce connector pack</x:v>
      </x:c>
      <x:c r="D161" s="29" t="str">
        <x:v>G2</x:v>
      </x:c>
      <x:c r="E161" s="29" t="str">
        <x:v>P1</x:v>
      </x:c>
      <x:c r="F161" s="29" t="str">
        <x:v>Integrations</x:v>
      </x:c>
      <x:c r="G161" s="39"/>
      <x:c r="H161" s="29" t="str">
        <x:v>PLT-008, ACT-002</x:v>
      </x:c>
      <x:c r="I161" s="39" t="str">
        <x:v>Not started</x:v>
      </x:c>
      <x:c r="J161" s="33" t="n">
        <x:f>IF(AND(I161="Done",N161&lt;&gt;""),1,0)</x:f>
        <x:v>0</x:v>
      </x:c>
      <x:c r="K161" s="29" t="str">
        <x:v>Shopify and WooCommerce events deduplicate and reconcile orders with source systems.</x:v>
      </x:c>
      <x:c r="L161" s="29" t="str">
        <x:v>services/integration-workers/; packages/connector-sdk/ (proposed)</x:v>
      </x:c>
      <x:c r="M161" s="29" t="str">
        <x:v>AT-INT-006</x:v>
      </x:c>
      <x:c r="N161" s="39"/>
      <x:c r="O161" s="41"/>
      <x:c r="P161" s="43"/>
      <x:c r="Q161" s="43"/>
      <x:c r="R161" s="29" t="str">
        <x:v>S01,S31</x:v>
      </x:c>
      <x:c r="S161" s="39" t="str">
        <x:v>Proposed target paths; no repository implementation inspected. Completion requires linked evidence.</x:v>
      </x:c>
      <x:c r="T161" s="29" t="str">
        <x:f>IF(I161="Done",IF(N161="","MISSING EVIDENCE","Review evidence"),"Pending")</x:f>
        <x:v>Pending</x:v>
      </x:c>
      <x:c r="U161" s="29" t="str">
        <x:f>IF(AND(Q161&lt;&gt;"",Q161&lt;TODAY(),I161&lt;&gt;"Done"),"OVERDUE","")</x:f>
      </x:c>
    </x:row>
    <x:row r="162" ht="74" customHeight="1">
      <x:c r="A162" s="29" t="str">
        <x:v>INT-007</x:v>
      </x:c>
      <x:c r="B162" s="29" t="str">
        <x:v>Integration platform</x:v>
      </x:c>
      <x:c r="C162" s="29" t="str">
        <x:v>Payment connector pack</x:v>
      </x:c>
      <x:c r="D162" s="29" t="str">
        <x:v>G2</x:v>
      </x:c>
      <x:c r="E162" s="29" t="str">
        <x:v>P1</x:v>
      </x:c>
      <x:c r="F162" s="29" t="str">
        <x:v>Integrations</x:v>
      </x:c>
      <x:c r="G162" s="39"/>
      <x:c r="H162" s="29" t="str">
        <x:v>PLT-008, ACT-002</x:v>
      </x:c>
      <x:c r="I162" s="39" t="str">
        <x:v>Not started</x:v>
      </x:c>
      <x:c r="J162" s="33" t="n">
        <x:f>IF(AND(I162="Done",N162&lt;&gt;""),1,0)</x:f>
        <x:v>0</x:v>
      </x:c>
      <x:c r="K162" s="29" t="str">
        <x:v>Razorpay/Stripe callbacks verify signatures; payment success is never inferred from browser redirects.</x:v>
      </x:c>
      <x:c r="L162" s="29" t="str">
        <x:v>services/integration-workers/; packages/connector-sdk/ (proposed)</x:v>
      </x:c>
      <x:c r="M162" s="29" t="str">
        <x:v>AT-INT-007</x:v>
      </x:c>
      <x:c r="N162" s="39"/>
      <x:c r="O162" s="41"/>
      <x:c r="P162" s="43"/>
      <x:c r="Q162" s="43"/>
      <x:c r="R162" s="29" t="str">
        <x:v>S01,S31</x:v>
      </x:c>
      <x:c r="S162" s="39" t="str">
        <x:v>Proposed target paths; no repository implementation inspected. Completion requires linked evidence.</x:v>
      </x:c>
      <x:c r="T162" s="29" t="str">
        <x:f>IF(I162="Done",IF(N162="","MISSING EVIDENCE","Review evidence"),"Pending")</x:f>
        <x:v>Pending</x:v>
      </x:c>
      <x:c r="U162" s="29" t="str">
        <x:f>IF(AND(Q162&lt;&gt;"",Q162&lt;TODAY(),I162&lt;&gt;"Done"),"OVERDUE","")</x:f>
      </x:c>
    </x:row>
    <x:row r="163" ht="74" customHeight="1">
      <x:c r="A163" s="29" t="str">
        <x:v>INT-008</x:v>
      </x:c>
      <x:c r="B163" s="29" t="str">
        <x:v>Integration platform</x:v>
      </x:c>
      <x:c r="C163" s="29" t="str">
        <x:v>Calendar and productivity pack</x:v>
      </x:c>
      <x:c r="D163" s="29" t="str">
        <x:v>G1</x:v>
      </x:c>
      <x:c r="E163" s="29" t="str">
        <x:v>P0</x:v>
      </x:c>
      <x:c r="F163" s="29" t="str">
        <x:v>Integrations</x:v>
      </x:c>
      <x:c r="G163" s="39"/>
      <x:c r="H163" s="29" t="str">
        <x:v>PLT-008, ACT-002</x:v>
      </x:c>
      <x:c r="I163" s="39" t="str">
        <x:v>Not started</x:v>
      </x:c>
      <x:c r="J163" s="33" t="n">
        <x:f>IF(AND(I163="Done",N163&lt;&gt;""),1,0)</x:f>
        <x:v>0</x:v>
      </x:c>
      <x:c r="K163" s="29" t="str">
        <x:v>Calendar, Sheets, Drive, Slack and Teams use least privilege and tested scoped operations.</x:v>
      </x:c>
      <x:c r="L163" s="29" t="str">
        <x:v>services/integration-workers/; packages/connector-sdk/ (proposed)</x:v>
      </x:c>
      <x:c r="M163" s="29" t="str">
        <x:v>AT-INT-008</x:v>
      </x:c>
      <x:c r="N163" s="39"/>
      <x:c r="O163" s="41"/>
      <x:c r="P163" s="43"/>
      <x:c r="Q163" s="43"/>
      <x:c r="R163" s="29" t="str">
        <x:v>S01,S31</x:v>
      </x:c>
      <x:c r="S163" s="39" t="str">
        <x:v>Proposed target paths; no repository implementation inspected. Completion requires linked evidence.</x:v>
      </x:c>
      <x:c r="T163" s="29" t="str">
        <x:f>IF(I163="Done",IF(N163="","MISSING EVIDENCE","Review evidence"),"Pending")</x:f>
        <x:v>Pending</x:v>
      </x:c>
      <x:c r="U163" s="29" t="str">
        <x:f>IF(AND(Q163&lt;&gt;"",Q163&lt;TODAY(),I163&lt;&gt;"Done"),"OVERDUE","")</x:f>
      </x:c>
    </x:row>
    <x:row r="164" ht="74" customHeight="1">
      <x:c r="A164" s="29" t="str">
        <x:v>INT-009</x:v>
      </x:c>
      <x:c r="B164" s="29" t="str">
        <x:v>Integration platform</x:v>
      </x:c>
      <x:c r="C164" s="29" t="str">
        <x:v>Support and ERP extensions</x:v>
      </x:c>
      <x:c r="D164" s="29" t="str">
        <x:v>G2</x:v>
      </x:c>
      <x:c r="E164" s="29" t="str">
        <x:v>P1</x:v>
      </x:c>
      <x:c r="F164" s="29" t="str">
        <x:v>Integrations</x:v>
      </x:c>
      <x:c r="G164" s="39"/>
      <x:c r="H164" s="29" t="str">
        <x:v>PLT-008, ACT-002</x:v>
      </x:c>
      <x:c r="I164" s="39" t="str">
        <x:v>Not started</x:v>
      </x:c>
      <x:c r="J164" s="33" t="n">
        <x:f>IF(AND(I164="Done",N164&lt;&gt;""),1,0)</x:f>
        <x:v>0</x:v>
      </x:c>
      <x:c r="K164" s="29" t="str">
        <x:v>Jira/ServiceNow/support and internal ERP connectors publish only certified capabilities.</x:v>
      </x:c>
      <x:c r="L164" s="29" t="str">
        <x:v>services/integration-workers/; packages/connector-sdk/ (proposed)</x:v>
      </x:c>
      <x:c r="M164" s="29" t="str">
        <x:v>AT-INT-009</x:v>
      </x:c>
      <x:c r="N164" s="39"/>
      <x:c r="O164" s="41"/>
      <x:c r="P164" s="43"/>
      <x:c r="Q164" s="43"/>
      <x:c r="R164" s="29" t="str">
        <x:v>S01,S31</x:v>
      </x:c>
      <x:c r="S164" s="39" t="str">
        <x:v>Proposed target paths; no repository implementation inspected. Completion requires linked evidence.</x:v>
      </x:c>
      <x:c r="T164" s="29" t="str">
        <x:f>IF(I164="Done",IF(N164="","MISSING EVIDENCE","Review evidence"),"Pending")</x:f>
        <x:v>Pending</x:v>
      </x:c>
      <x:c r="U164" s="29" t="str">
        <x:f>IF(AND(Q164&lt;&gt;"",Q164&lt;TODAY(),I164&lt;&gt;"Done"),"OVERDUE","")</x:f>
      </x:c>
    </x:row>
    <x:row r="165" ht="74" customHeight="1">
      <x:c r="A165" s="29" t="str">
        <x:v>INT-010</x:v>
      </x:c>
      <x:c r="B165" s="29" t="str">
        <x:v>Integration platform</x:v>
      </x:c>
      <x:c r="C165" s="29" t="str">
        <x:v>Connector health and repair</x:v>
      </x:c>
      <x:c r="D165" s="29" t="str">
        <x:v>G2</x:v>
      </x:c>
      <x:c r="E165" s="29" t="str">
        <x:v>P1</x:v>
      </x:c>
      <x:c r="F165" s="29" t="str">
        <x:v>Integrations</x:v>
      </x:c>
      <x:c r="G165" s="39"/>
      <x:c r="H165" s="29" t="str">
        <x:v>PLT-008, ACT-002</x:v>
      </x:c>
      <x:c r="I165" s="39" t="str">
        <x:v>Not started</x:v>
      </x:c>
      <x:c r="J165" s="33" t="n">
        <x:f>IF(AND(I165="Done",N165&lt;&gt;""),1,0)</x:f>
        <x:v>0</x:v>
      </x:c>
      <x:c r="K165" s="29" t="str">
        <x:v>Revocation, schema drift and auth expiry create actionable repair flows.</x:v>
      </x:c>
      <x:c r="L165" s="29" t="str">
        <x:v>services/integration-workers/; packages/connector-sdk/ (proposed)</x:v>
      </x:c>
      <x:c r="M165" s="29" t="str">
        <x:v>AT-INT-010</x:v>
      </x:c>
      <x:c r="N165" s="39"/>
      <x:c r="O165" s="41"/>
      <x:c r="P165" s="43"/>
      <x:c r="Q165" s="43"/>
      <x:c r="R165" s="29" t="str">
        <x:v>S01,S31</x:v>
      </x:c>
      <x:c r="S165" s="39" t="str">
        <x:v>Proposed target paths; no repository implementation inspected. Completion requires linked evidence.</x:v>
      </x:c>
      <x:c r="T165" s="29" t="str">
        <x:f>IF(I165="Done",IF(N165="","MISSING EVIDENCE","Review evidence"),"Pending")</x:f>
        <x:v>Pending</x:v>
      </x:c>
      <x:c r="U165" s="29" t="str">
        <x:f>IF(AND(Q165&lt;&gt;"",Q165&lt;TODAY(),I165&lt;&gt;"Done"),"OVERDUE","")</x:f>
      </x:c>
    </x:row>
    <x:row r="166" ht="74" customHeight="1">
      <x:c r="A166" s="29" t="str">
        <x:v>INT-011</x:v>
      </x:c>
      <x:c r="B166" s="29" t="str">
        <x:v>Integration platform</x:v>
      </x:c>
      <x:c r="C166" s="29" t="str">
        <x:v>Private network connector agent</x:v>
      </x:c>
      <x:c r="D166" s="29" t="str">
        <x:v>G2</x:v>
      </x:c>
      <x:c r="E166" s="29" t="str">
        <x:v>P1</x:v>
      </x:c>
      <x:c r="F166" s="29" t="str">
        <x:v>Integrations</x:v>
      </x:c>
      <x:c r="G166" s="39"/>
      <x:c r="H166" s="29" t="str">
        <x:v>PLT-008, ACT-002</x:v>
      </x:c>
      <x:c r="I166" s="39" t="str">
        <x:v>Not started</x:v>
      </x:c>
      <x:c r="J166" s="33" t="n">
        <x:f>IF(AND(I166="Done",N166&lt;&gt;""),1,0)</x:f>
        <x:v>0</x:v>
      </x:c>
      <x:c r="K166" s="29" t="str">
        <x:v>Outbound-only mutually authenticated bridge enforces tenant/workspace and destination policy.</x:v>
      </x:c>
      <x:c r="L166" s="29" t="str">
        <x:v>services/integration-workers/; packages/connector-sdk/ (proposed)</x:v>
      </x:c>
      <x:c r="M166" s="29" t="str">
        <x:v>AT-INT-011</x:v>
      </x:c>
      <x:c r="N166" s="39"/>
      <x:c r="O166" s="41"/>
      <x:c r="P166" s="43"/>
      <x:c r="Q166" s="43"/>
      <x:c r="R166" s="29" t="str">
        <x:v>S01,S31</x:v>
      </x:c>
      <x:c r="S166" s="39" t="str">
        <x:v>Proposed target paths; no repository implementation inspected. Completion requires linked evidence.</x:v>
      </x:c>
      <x:c r="T166" s="29" t="str">
        <x:f>IF(I166="Done",IF(N166="","MISSING EVIDENCE","Review evidence"),"Pending")</x:f>
        <x:v>Pending</x:v>
      </x:c>
      <x:c r="U166" s="29" t="str">
        <x:f>IF(AND(Q166&lt;&gt;"",Q166&lt;TODAY(),I166&lt;&gt;"Done"),"OVERDUE","")</x:f>
      </x:c>
    </x:row>
    <x:row r="167" ht="74" customHeight="1">
      <x:c r="A167" s="29" t="str">
        <x:v>INT-012</x:v>
      </x:c>
      <x:c r="B167" s="29" t="str">
        <x:v>Integration platform</x:v>
      </x:c>
      <x:c r="C167" s="29" t="str">
        <x:v>Marketplace review and package signing</x:v>
      </x:c>
      <x:c r="D167" s="29" t="str">
        <x:v>G2</x:v>
      </x:c>
      <x:c r="E167" s="29" t="str">
        <x:v>P1</x:v>
      </x:c>
      <x:c r="F167" s="29" t="str">
        <x:v>Integrations</x:v>
      </x:c>
      <x:c r="G167" s="39"/>
      <x:c r="H167" s="29" t="str">
        <x:v>PLT-008, ACT-002</x:v>
      </x:c>
      <x:c r="I167" s="39" t="str">
        <x:v>Not started</x:v>
      </x:c>
      <x:c r="J167" s="33" t="n">
        <x:f>IF(AND(I167="Done",N167&lt;&gt;""),1,0)</x:f>
        <x:v>0</x:v>
      </x:c>
      <x:c r="K167" s="29" t="str">
        <x:v>Untrusted connector code has reviewed permissions, isolated runtime and kill switch.</x:v>
      </x:c>
      <x:c r="L167" s="29" t="str">
        <x:v>services/integration-workers/; packages/connector-sdk/ (proposed)</x:v>
      </x:c>
      <x:c r="M167" s="29" t="str">
        <x:v>AT-INT-012</x:v>
      </x:c>
      <x:c r="N167" s="39"/>
      <x:c r="O167" s="41"/>
      <x:c r="P167" s="43"/>
      <x:c r="Q167" s="43"/>
      <x:c r="R167" s="29" t="str">
        <x:v>S01,S31</x:v>
      </x:c>
      <x:c r="S167" s="39" t="str">
        <x:v>Proposed target paths; no repository implementation inspected. Completion requires linked evidence.</x:v>
      </x:c>
      <x:c r="T167" s="29" t="str">
        <x:f>IF(I167="Done",IF(N167="","MISSING EVIDENCE","Review evidence"),"Pending")</x:f>
        <x:v>Pending</x:v>
      </x:c>
      <x:c r="U167" s="29" t="str">
        <x:f>IF(AND(Q167&lt;&gt;"",Q167&lt;TODAY(),I167&lt;&gt;"Done"),"OVERDUE","")</x:f>
      </x:c>
    </x:row>
    <x:row r="168" ht="74" customHeight="1">
      <x:c r="A168" s="29" t="str">
        <x:v>DEV-001</x:v>
      </x:c>
      <x:c r="B168" s="29" t="str">
        <x:v>Public developer platform</x:v>
      </x:c>
      <x:c r="C168" s="29" t="str">
        <x:v>Public API and OpenAPI contract</x:v>
      </x:c>
      <x:c r="D168" s="29" t="str">
        <x:v>G1</x:v>
      </x:c>
      <x:c r="E168" s="29" t="str">
        <x:v>P0</x:v>
      </x:c>
      <x:c r="F168" s="29" t="str">
        <x:v>API</x:v>
      </x:c>
      <x:c r="G168" s="39"/>
      <x:c r="H168" s="29" t="str">
        <x:v>PLT-003, EVT-002</x:v>
      </x:c>
      <x:c r="I168" s="39" t="str">
        <x:v>Not started</x:v>
      </x:c>
      <x:c r="J168" s="33" t="n">
        <x:f>IF(AND(I168="Done",N168&lt;&gt;""),1,0)</x:f>
        <x:v>0</x:v>
      </x:c>
      <x:c r="K168" s="29" t="str">
        <x:v>Versioned endpoints have scopes, pagination, error schemas, idempotency and examples.</x:v>
      </x:c>
      <x:c r="L168" s="29" t="str">
        <x:v>packages/contracts/; packages/sdk-typescript/; packages/sdk-python/ (proposed)</x:v>
      </x:c>
      <x:c r="M168" s="29" t="str">
        <x:v>AT-DEV-001</x:v>
      </x:c>
      <x:c r="N168" s="39"/>
      <x:c r="O168" s="41"/>
      <x:c r="P168" s="43"/>
      <x:c r="Q168" s="43"/>
      <x:c r="R168" s="29" t="str">
        <x:v>S29,S31</x:v>
      </x:c>
      <x:c r="S168" s="39" t="str">
        <x:v>Proposed target paths; no repository implementation inspected. Completion requires linked evidence.</x:v>
      </x:c>
      <x:c r="T168" s="29" t="str">
        <x:f>IF(I168="Done",IF(N168="","MISSING EVIDENCE","Review evidence"),"Pending")</x:f>
        <x:v>Pending</x:v>
      </x:c>
      <x:c r="U168" s="29" t="str">
        <x:f>IF(AND(Q168&lt;&gt;"",Q168&lt;TODAY(),I168&lt;&gt;"Done"),"OVERDUE","")</x:f>
      </x:c>
    </x:row>
    <x:row r="169" ht="74" customHeight="1">
      <x:c r="A169" s="29" t="str">
        <x:v>DEV-002</x:v>
      </x:c>
      <x:c r="B169" s="29" t="str">
        <x:v>Public developer platform</x:v>
      </x:c>
      <x:c r="C169" s="29" t="str">
        <x:v>API keys and service identities</x:v>
      </x:c>
      <x:c r="D169" s="29" t="str">
        <x:v>G1</x:v>
      </x:c>
      <x:c r="E169" s="29" t="str">
        <x:v>P0</x:v>
      </x:c>
      <x:c r="F169" s="29" t="str">
        <x:v>API</x:v>
      </x:c>
      <x:c r="G169" s="39"/>
      <x:c r="H169" s="29" t="str">
        <x:v>PLT-003, EVT-002</x:v>
      </x:c>
      <x:c r="I169" s="39" t="str">
        <x:v>Not started</x:v>
      </x:c>
      <x:c r="J169" s="33" t="n">
        <x:f>IF(AND(I169="Done",N169&lt;&gt;""),1,0)</x:f>
        <x:v>0</x:v>
      </x:c>
      <x:c r="K169" s="29" t="str">
        <x:v>Credentials are hashed/revocable/scoped; tenant identity is derived server-side.</x:v>
      </x:c>
      <x:c r="L169" s="29" t="str">
        <x:v>packages/contracts/; packages/sdk-typescript/; packages/sdk-python/ (proposed)</x:v>
      </x:c>
      <x:c r="M169" s="29" t="str">
        <x:v>AT-DEV-002</x:v>
      </x:c>
      <x:c r="N169" s="39"/>
      <x:c r="O169" s="41"/>
      <x:c r="P169" s="43"/>
      <x:c r="Q169" s="43"/>
      <x:c r="R169" s="29" t="str">
        <x:v>S29,S31</x:v>
      </x:c>
      <x:c r="S169" s="39" t="str">
        <x:v>Proposed target paths; no repository implementation inspected. Completion requires linked evidence.</x:v>
      </x:c>
      <x:c r="T169" s="29" t="str">
        <x:f>IF(I169="Done",IF(N169="","MISSING EVIDENCE","Review evidence"),"Pending")</x:f>
        <x:v>Pending</x:v>
      </x:c>
      <x:c r="U169" s="29" t="str">
        <x:f>IF(AND(Q169&lt;&gt;"",Q169&lt;TODAY(),I169&lt;&gt;"Done"),"OVERDUE","")</x:f>
      </x:c>
    </x:row>
    <x:row r="170" ht="74" customHeight="1">
      <x:c r="A170" s="29" t="str">
        <x:v>DEV-003</x:v>
      </x:c>
      <x:c r="B170" s="29" t="str">
        <x:v>Public developer platform</x:v>
      </x:c>
      <x:c r="C170" s="29" t="str">
        <x:v>OAuth apps for customer developers</x:v>
      </x:c>
      <x:c r="D170" s="29" t="str">
        <x:v>G2</x:v>
      </x:c>
      <x:c r="E170" s="29" t="str">
        <x:v>P1</x:v>
      </x:c>
      <x:c r="F170" s="29" t="str">
        <x:v>API</x:v>
      </x:c>
      <x:c r="G170" s="39"/>
      <x:c r="H170" s="29" t="str">
        <x:v>PLT-003, EVT-002</x:v>
      </x:c>
      <x:c r="I170" s="39" t="str">
        <x:v>Not started</x:v>
      </x:c>
      <x:c r="J170" s="33" t="n">
        <x:f>IF(AND(I170="Done",N170&lt;&gt;""),1,0)</x:f>
        <x:v>0</x:v>
      </x:c>
      <x:c r="K170" s="29" t="str">
        <x:v>Authorization code flow binds organization and scopes with redirect validation and consent.</x:v>
      </x:c>
      <x:c r="L170" s="29" t="str">
        <x:v>packages/contracts/; packages/sdk-typescript/; packages/sdk-python/ (proposed)</x:v>
      </x:c>
      <x:c r="M170" s="29" t="str">
        <x:v>AT-DEV-003</x:v>
      </x:c>
      <x:c r="N170" s="39"/>
      <x:c r="O170" s="41"/>
      <x:c r="P170" s="43"/>
      <x:c r="Q170" s="43"/>
      <x:c r="R170" s="29" t="str">
        <x:v>S29,S31</x:v>
      </x:c>
      <x:c r="S170" s="39" t="str">
        <x:v>Proposed target paths; no repository implementation inspected. Completion requires linked evidence.</x:v>
      </x:c>
      <x:c r="T170" s="29" t="str">
        <x:f>IF(I170="Done",IF(N170="","MISSING EVIDENCE","Review evidence"),"Pending")</x:f>
        <x:v>Pending</x:v>
      </x:c>
      <x:c r="U170" s="29" t="str">
        <x:f>IF(AND(Q170&lt;&gt;"",Q170&lt;TODAY(),I170&lt;&gt;"Done"),"OVERDUE","")</x:f>
      </x:c>
    </x:row>
    <x:row r="171" ht="74" customHeight="1">
      <x:c r="A171" s="29" t="str">
        <x:v>DEV-004</x:v>
      </x:c>
      <x:c r="B171" s="29" t="str">
        <x:v>Public developer platform</x:v>
      </x:c>
      <x:c r="C171" s="29" t="str">
        <x:v>Mission execution and status API</x:v>
      </x:c>
      <x:c r="D171" s="29" t="str">
        <x:v>G1</x:v>
      </x:c>
      <x:c r="E171" s="29" t="str">
        <x:v>P0</x:v>
      </x:c>
      <x:c r="F171" s="29" t="str">
        <x:v>API</x:v>
      </x:c>
      <x:c r="G171" s="39"/>
      <x:c r="H171" s="29" t="str">
        <x:v>PLT-003, EVT-002, MIS-001</x:v>
      </x:c>
      <x:c r="I171" s="39" t="str">
        <x:v>Not started</x:v>
      </x:c>
      <x:c r="J171" s="33" t="n">
        <x:f>IF(AND(I171="Done",N171&lt;&gt;""),1,0)</x:f>
        <x:v>0</x:v>
      </x:c>
      <x:c r="K171" s="29" t="str">
        <x:v>202 returns execution ID; polling and callbacks provide truthful asynchronous status.</x:v>
      </x:c>
      <x:c r="L171" s="29" t="str">
        <x:v>packages/contracts/; packages/sdk-typescript/; packages/sdk-python/ (proposed)</x:v>
      </x:c>
      <x:c r="M171" s="29" t="str">
        <x:v>AT-DEV-004</x:v>
      </x:c>
      <x:c r="N171" s="39"/>
      <x:c r="O171" s="41"/>
      <x:c r="P171" s="43"/>
      <x:c r="Q171" s="43"/>
      <x:c r="R171" s="29" t="str">
        <x:v>S29,S31</x:v>
      </x:c>
      <x:c r="S171" s="39" t="str">
        <x:v>Proposed target paths; no repository implementation inspected. Completion requires linked evidence.</x:v>
      </x:c>
      <x:c r="T171" s="29" t="str">
        <x:f>IF(I171="Done",IF(N171="","MISSING EVIDENCE","Review evidence"),"Pending")</x:f>
        <x:v>Pending</x:v>
      </x:c>
      <x:c r="U171" s="29" t="str">
        <x:f>IF(AND(Q171&lt;&gt;"",Q171&lt;TODAY(),I171&lt;&gt;"Done"),"OVERDUE","")</x:f>
      </x:c>
    </x:row>
    <x:row r="172" ht="74" customHeight="1">
      <x:c r="A172" s="29" t="str">
        <x:v>DEV-005</x:v>
      </x:c>
      <x:c r="B172" s="29" t="str">
        <x:v>Public developer platform</x:v>
      </x:c>
      <x:c r="C172" s="29" t="str">
        <x:v>MCP gateway</x:v>
      </x:c>
      <x:c r="D172" s="29" t="str">
        <x:v>G2</x:v>
      </x:c>
      <x:c r="E172" s="29" t="str">
        <x:v>P1</x:v>
      </x:c>
      <x:c r="F172" s="29" t="str">
        <x:v>API</x:v>
      </x:c>
      <x:c r="G172" s="39"/>
      <x:c r="H172" s="29" t="str">
        <x:v>PLT-003, EVT-002</x:v>
      </x:c>
      <x:c r="I172" s="39" t="str">
        <x:v>Not started</x:v>
      </x:c>
      <x:c r="J172" s="33" t="n">
        <x:f>IF(AND(I172="Done",N172&lt;&gt;""),1,0)</x:f>
        <x:v>0</x:v>
      </x:c>
      <x:c r="K172" s="29" t="str">
        <x:v>Audience-bound tokens and tool permissions prevent token passthrough or cross-tenant confused deputy.</x:v>
      </x:c>
      <x:c r="L172" s="29" t="str">
        <x:v>packages/contracts/; packages/sdk-typescript/; packages/sdk-python/ (proposed)</x:v>
      </x:c>
      <x:c r="M172" s="29" t="str">
        <x:v>AT-DEV-005</x:v>
      </x:c>
      <x:c r="N172" s="39"/>
      <x:c r="O172" s="41"/>
      <x:c r="P172" s="43"/>
      <x:c r="Q172" s="43"/>
      <x:c r="R172" s="29" t="str">
        <x:v>S29,S31</x:v>
      </x:c>
      <x:c r="S172" s="39" t="str">
        <x:v>Proposed target paths; no repository implementation inspected. Completion requires linked evidence.</x:v>
      </x:c>
      <x:c r="T172" s="29" t="str">
        <x:f>IF(I172="Done",IF(N172="","MISSING EVIDENCE","Review evidence"),"Pending")</x:f>
        <x:v>Pending</x:v>
      </x:c>
      <x:c r="U172" s="29" t="str">
        <x:f>IF(AND(Q172&lt;&gt;"",Q172&lt;TODAY(),I172&lt;&gt;"Done"),"OVERDUE","")</x:f>
      </x:c>
    </x:row>
    <x:row r="173" ht="74" customHeight="1">
      <x:c r="A173" s="29" t="str">
        <x:v>DEV-006</x:v>
      </x:c>
      <x:c r="B173" s="29" t="str">
        <x:v>Public developer platform</x:v>
      </x:c>
      <x:c r="C173" s="29" t="str">
        <x:v>SDKs and signature helpers</x:v>
      </x:c>
      <x:c r="D173" s="29" t="str">
        <x:v>G1</x:v>
      </x:c>
      <x:c r="E173" s="29" t="str">
        <x:v>P0</x:v>
      </x:c>
      <x:c r="F173" s="29" t="str">
        <x:v>API</x:v>
      </x:c>
      <x:c r="G173" s="39"/>
      <x:c r="H173" s="29" t="str">
        <x:v>PLT-003, EVT-002</x:v>
      </x:c>
      <x:c r="I173" s="39" t="str">
        <x:v>Not started</x:v>
      </x:c>
      <x:c r="J173" s="33" t="n">
        <x:f>IF(AND(I173="Done",N173&lt;&gt;""),1,0)</x:f>
        <x:v>0</x:v>
      </x:c>
      <x:c r="K173" s="29" t="str">
        <x:v>TypeScript and Python SDKs tested first; Java/PHP/.NET/Go follow contract-generated suites. Initial TypeScript/Python SDKs precede Java, PHP, .NET, Go and mobile SDK expansion under the same public API.</x:v>
      </x:c>
      <x:c r="L173" s="29" t="str">
        <x:v>packages/contracts/; packages/sdk-typescript/; packages/sdk-python/ (proposed)</x:v>
      </x:c>
      <x:c r="M173" s="29" t="str">
        <x:v>AT-DEV-006</x:v>
      </x:c>
      <x:c r="N173" s="39"/>
      <x:c r="O173" s="41"/>
      <x:c r="P173" s="43"/>
      <x:c r="Q173" s="43"/>
      <x:c r="R173" s="29" t="str">
        <x:v>S29,S31</x:v>
      </x:c>
      <x:c r="S173" s="39" t="str">
        <x:v>Proposed target paths; no repository implementation inspected. Completion requires linked evidence.</x:v>
      </x:c>
      <x:c r="T173" s="29" t="str">
        <x:f>IF(I173="Done",IF(N173="","MISSING EVIDENCE","Review evidence"),"Pending")</x:f>
        <x:v>Pending</x:v>
      </x:c>
      <x:c r="U173" s="29" t="str">
        <x:f>IF(AND(Q173&lt;&gt;"",Q173&lt;TODAY(),I173&lt;&gt;"Done"),"OVERDUE","")</x:f>
      </x:c>
    </x:row>
    <x:row r="174" ht="74" customHeight="1">
      <x:c r="A174" s="29" t="str">
        <x:v>DEV-007</x:v>
      </x:c>
      <x:c r="B174" s="29" t="str">
        <x:v>Public developer platform</x:v>
      </x:c>
      <x:c r="C174" s="29" t="str">
        <x:v>API explorer, docs and sandbox</x:v>
      </x:c>
      <x:c r="D174" s="29" t="str">
        <x:v>G1</x:v>
      </x:c>
      <x:c r="E174" s="29" t="str">
        <x:v>P0</x:v>
      </x:c>
      <x:c r="F174" s="29" t="str">
        <x:v>API</x:v>
      </x:c>
      <x:c r="G174" s="39"/>
      <x:c r="H174" s="29" t="str">
        <x:v>PLT-003, EVT-002</x:v>
      </x:c>
      <x:c r="I174" s="39" t="str">
        <x:v>Not started</x:v>
      </x:c>
      <x:c r="J174" s="33" t="n">
        <x:f>IF(AND(I174="Done",N174&lt;&gt;""),1,0)</x:f>
        <x:v>0</x:v>
      </x:c>
      <x:c r="K174" s="29" t="str">
        <x:v>Examples run in isolated environment with redacted logs and no real recipients by default.</x:v>
      </x:c>
      <x:c r="L174" s="29" t="str">
        <x:v>packages/contracts/; packages/sdk-typescript/; packages/sdk-python/ (proposed)</x:v>
      </x:c>
      <x:c r="M174" s="29" t="str">
        <x:v>AT-DEV-007</x:v>
      </x:c>
      <x:c r="N174" s="39"/>
      <x:c r="O174" s="41"/>
      <x:c r="P174" s="43"/>
      <x:c r="Q174" s="43"/>
      <x:c r="R174" s="29" t="str">
        <x:v>S29,S31</x:v>
      </x:c>
      <x:c r="S174" s="39" t="str">
        <x:v>Proposed target paths; no repository implementation inspected. Completion requires linked evidence.</x:v>
      </x:c>
      <x:c r="T174" s="29" t="str">
        <x:f>IF(I174="Done",IF(N174="","MISSING EVIDENCE","Review evidence"),"Pending")</x:f>
        <x:v>Pending</x:v>
      </x:c>
      <x:c r="U174" s="29" t="str">
        <x:f>IF(AND(Q174&lt;&gt;"",Q174&lt;TODAY(),I174&lt;&gt;"Done"),"OVERDUE","")</x:f>
      </x:c>
    </x:row>
    <x:row r="175" ht="74" customHeight="1">
      <x:c r="A175" s="29" t="str">
        <x:v>DEV-008</x:v>
      </x:c>
      <x:c r="B175" s="29" t="str">
        <x:v>Public developer platform</x:v>
      </x:c>
      <x:c r="C175" s="29" t="str">
        <x:v>Developer usage and audit</x:v>
      </x:c>
      <x:c r="D175" s="29" t="str">
        <x:v>G1</x:v>
      </x:c>
      <x:c r="E175" s="29" t="str">
        <x:v>P0</x:v>
      </x:c>
      <x:c r="F175" s="29" t="str">
        <x:v>API</x:v>
      </x:c>
      <x:c r="G175" s="39"/>
      <x:c r="H175" s="29" t="str">
        <x:v>PLT-003, EVT-002</x:v>
      </x:c>
      <x:c r="I175" s="39" t="str">
        <x:v>Not started</x:v>
      </x:c>
      <x:c r="J175" s="33" t="n">
        <x:f>IF(AND(I175="Done",N175&lt;&gt;""),1,0)</x:f>
        <x:v>0</x:v>
      </x:c>
      <x:c r="K175" s="29" t="str">
        <x:v>Every API actor, scope and quota action is attributable without recording secrets.</x:v>
      </x:c>
      <x:c r="L175" s="29" t="str">
        <x:v>packages/contracts/; packages/sdk-typescript/; packages/sdk-python/ (proposed)</x:v>
      </x:c>
      <x:c r="M175" s="29" t="str">
        <x:v>AT-DEV-008</x:v>
      </x:c>
      <x:c r="N175" s="39"/>
      <x:c r="O175" s="41"/>
      <x:c r="P175" s="43"/>
      <x:c r="Q175" s="43"/>
      <x:c r="R175" s="29" t="str">
        <x:v>S29,S31</x:v>
      </x:c>
      <x:c r="S175" s="39" t="str">
        <x:v>Proposed target paths; no repository implementation inspected. Completion requires linked evidence.</x:v>
      </x:c>
      <x:c r="T175" s="29" t="str">
        <x:f>IF(I175="Done",IF(N175="","MISSING EVIDENCE","Review evidence"),"Pending")</x:f>
        <x:v>Pending</x:v>
      </x:c>
      <x:c r="U175" s="29" t="str">
        <x:f>IF(AND(Q175&lt;&gt;"",Q175&lt;TODAY(),I175&lt;&gt;"Done"),"OVERDUE","")</x:f>
      </x:c>
    </x:row>
    <x:row r="176" ht="74" customHeight="1">
      <x:c r="A176" s="29" t="str">
        <x:v>UX-001</x:v>
      </x:c>
      <x:c r="B176" s="29" t="str">
        <x:v>Web, mobile and accessibility</x:v>
      </x:c>
      <x:c r="C176" s="29" t="str">
        <x:v>Next.js application and design system</x:v>
      </x:c>
      <x:c r="D176" s="29" t="str">
        <x:v>G1</x:v>
      </x:c>
      <x:c r="E176" s="29" t="str">
        <x:v>P0</x:v>
      </x:c>
      <x:c r="F176" s="29" t="str">
        <x:v>Experience</x:v>
      </x:c>
      <x:c r="G176" s="39"/>
      <x:c r="H176" s="29" t="str">
        <x:v>PLT-001</x:v>
      </x:c>
      <x:c r="I176" s="39" t="str">
        <x:v>Not started</x:v>
      </x:c>
      <x:c r="J176" s="33" t="n">
        <x:f>IF(AND(I176="Done",N176&lt;&gt;""),1,0)</x:f>
        <x:v>0</x:v>
      </x:c>
      <x:c r="K176" s="29" t="str">
        <x:v>Responsive tenant shell and reusable components enforce accessible loading/error/empty states.</x:v>
      </x:c>
      <x:c r="L176" s="29" t="str">
        <x:v>apps/web/; packages/ui/ (proposed)</x:v>
      </x:c>
      <x:c r="M176" s="29" t="str">
        <x:v>AT-UX-001</x:v>
      </x:c>
      <x:c r="N176" s="39"/>
      <x:c r="O176" s="41"/>
      <x:c r="P176" s="43"/>
      <x:c r="Q176" s="43"/>
      <x:c r="R176" s="29" t="str">
        <x:v>S01,S28</x:v>
      </x:c>
      <x:c r="S176" s="39" t="str">
        <x:v>Proposed target paths; no repository implementation inspected. Completion requires linked evidence.</x:v>
      </x:c>
      <x:c r="T176" s="29" t="str">
        <x:f>IF(I176="Done",IF(N176="","MISSING EVIDENCE","Review evidence"),"Pending")</x:f>
        <x:v>Pending</x:v>
      </x:c>
      <x:c r="U176" s="29" t="str">
        <x:f>IF(AND(Q176&lt;&gt;"",Q176&lt;TODAY(),I176&lt;&gt;"Done"),"OVERDUE","")</x:f>
      </x:c>
    </x:row>
    <x:row r="177" ht="74" customHeight="1">
      <x:c r="A177" s="29" t="str">
        <x:v>UX-002</x:v>
      </x:c>
      <x:c r="B177" s="29" t="str">
        <x:v>Web, mobile and accessibility</x:v>
      </x:c>
      <x:c r="C177" s="29" t="str">
        <x:v>Guided onboarding and setup assistant</x:v>
      </x:c>
      <x:c r="D177" s="29" t="str">
        <x:v>G1</x:v>
      </x:c>
      <x:c r="E177" s="29" t="str">
        <x:v>P0</x:v>
      </x:c>
      <x:c r="F177" s="29" t="str">
        <x:v>Experience</x:v>
      </x:c>
      <x:c r="G177" s="39"/>
      <x:c r="H177" s="29" t="str">
        <x:v>PLT-001</x:v>
      </x:c>
      <x:c r="I177" s="39" t="str">
        <x:v>Not started</x:v>
      </x:c>
      <x:c r="J177" s="33" t="n">
        <x:f>IF(AND(I177="Done",N177&lt;&gt;""),1,0)</x:f>
        <x:v>0</x:v>
      </x:c>
      <x:c r="K177" s="29" t="str">
        <x:v>Users see missing permissions/verification/billing steps without false ready indicators.</x:v>
      </x:c>
      <x:c r="L177" s="29" t="str">
        <x:v>apps/web/; packages/ui/ (proposed)</x:v>
      </x:c>
      <x:c r="M177" s="29" t="str">
        <x:v>AT-UX-002</x:v>
      </x:c>
      <x:c r="N177" s="39"/>
      <x:c r="O177" s="41"/>
      <x:c r="P177" s="43"/>
      <x:c r="Q177" s="43"/>
      <x:c r="R177" s="29" t="str">
        <x:v>S01,S28</x:v>
      </x:c>
      <x:c r="S177" s="39" t="str">
        <x:v>Proposed target paths; no repository implementation inspected. Completion requires linked evidence.</x:v>
      </x:c>
      <x:c r="T177" s="29" t="str">
        <x:f>IF(I177="Done",IF(N177="","MISSING EVIDENCE","Review evidence"),"Pending")</x:f>
        <x:v>Pending</x:v>
      </x:c>
      <x:c r="U177" s="29" t="str">
        <x:f>IF(AND(Q177&lt;&gt;"",Q177&lt;TODAY(),I177&lt;&gt;"Done"),"OVERDUE","")</x:f>
      </x:c>
    </x:row>
    <x:row r="178" ht="74" customHeight="1">
      <x:c r="A178" s="29" t="str">
        <x:v>UX-003</x:v>
      </x:c>
      <x:c r="B178" s="29" t="str">
        <x:v>Web, mobile and accessibility</x:v>
      </x:c>
      <x:c r="C178" s="29" t="str">
        <x:v>Command Center</x:v>
      </x:c>
      <x:c r="D178" s="29" t="str">
        <x:v>G1</x:v>
      </x:c>
      <x:c r="E178" s="29" t="str">
        <x:v>P0</x:v>
      </x:c>
      <x:c r="F178" s="29" t="str">
        <x:v>Experience</x:v>
      </x:c>
      <x:c r="G178" s="39"/>
      <x:c r="H178" s="29" t="str">
        <x:v>PLT-001</x:v>
      </x:c>
      <x:c r="I178" s="39" t="str">
        <x:v>Not started</x:v>
      </x:c>
      <x:c r="J178" s="33" t="n">
        <x:f>IF(AND(I178="Done",N178&lt;&gt;""),1,0)</x:f>
        <x:v>0</x:v>
      </x:c>
      <x:c r="K178" s="29" t="str">
        <x:v>Shows measured operational status with freshness and drill-down to evidence.</x:v>
      </x:c>
      <x:c r="L178" s="29" t="str">
        <x:v>apps/web/; packages/ui/ (proposed)</x:v>
      </x:c>
      <x:c r="M178" s="29" t="str">
        <x:v>AT-UX-003</x:v>
      </x:c>
      <x:c r="N178" s="39"/>
      <x:c r="O178" s="41"/>
      <x:c r="P178" s="43"/>
      <x:c r="Q178" s="43"/>
      <x:c r="R178" s="29" t="str">
        <x:v>S01,S28</x:v>
      </x:c>
      <x:c r="S178" s="39" t="str">
        <x:v>Proposed target paths; no repository implementation inspected. Completion requires linked evidence.</x:v>
      </x:c>
      <x:c r="T178" s="29" t="str">
        <x:f>IF(I178="Done",IF(N178="","MISSING EVIDENCE","Review evidence"),"Pending")</x:f>
        <x:v>Pending</x:v>
      </x:c>
      <x:c r="U178" s="29" t="str">
        <x:f>IF(AND(Q178&lt;&gt;"",Q178&lt;TODAY(),I178&lt;&gt;"Done"),"OVERDUE","")</x:f>
      </x:c>
    </x:row>
    <x:row r="179" ht="74" customHeight="1">
      <x:c r="A179" s="29" t="str">
        <x:v>UX-004</x:v>
      </x:c>
      <x:c r="B179" s="29" t="str">
        <x:v>Web, mobile and accessibility</x:v>
      </x:c>
      <x:c r="C179" s="29" t="str">
        <x:v>Mission and automation navigation</x:v>
      </x:c>
      <x:c r="D179" s="29" t="str">
        <x:v>G1</x:v>
      </x:c>
      <x:c r="E179" s="29" t="str">
        <x:v>P0</x:v>
      </x:c>
      <x:c r="F179" s="29" t="str">
        <x:v>Experience</x:v>
      </x:c>
      <x:c r="G179" s="39"/>
      <x:c r="H179" s="29" t="str">
        <x:v>PLT-001</x:v>
      </x:c>
      <x:c r="I179" s="39" t="str">
        <x:v>Not started</x:v>
      </x:c>
      <x:c r="J179" s="33" t="n">
        <x:f>IF(AND(I179="Done",N179&lt;&gt;""),1,0)</x:f>
        <x:v>0</x:v>
      </x:c>
      <x:c r="K179" s="29" t="str">
        <x:v>Canvas, templates, executions, simulation and approvals share one consistent object model.</x:v>
      </x:c>
      <x:c r="L179" s="29" t="str">
        <x:v>apps/web/; packages/ui/ (proposed)</x:v>
      </x:c>
      <x:c r="M179" s="29" t="str">
        <x:v>AT-UX-004</x:v>
      </x:c>
      <x:c r="N179" s="39"/>
      <x:c r="O179" s="41"/>
      <x:c r="P179" s="43"/>
      <x:c r="Q179" s="43"/>
      <x:c r="R179" s="29" t="str">
        <x:v>S01,S28</x:v>
      </x:c>
      <x:c r="S179" s="39" t="str">
        <x:v>Proposed target paths; no repository implementation inspected. Completion requires linked evidence.</x:v>
      </x:c>
      <x:c r="T179" s="29" t="str">
        <x:f>IF(I179="Done",IF(N179="","MISSING EVIDENCE","Review evidence"),"Pending")</x:f>
        <x:v>Pending</x:v>
      </x:c>
      <x:c r="U179" s="29" t="str">
        <x:f>IF(AND(Q179&lt;&gt;"",Q179&lt;TODAY(),I179&lt;&gt;"Done"),"OVERDUE","")</x:f>
      </x:c>
    </x:row>
    <x:row r="180" ht="74" customHeight="1">
      <x:c r="A180" s="29" t="str">
        <x:v>UX-005</x:v>
      </x:c>
      <x:c r="B180" s="29" t="str">
        <x:v>Web, mobile and accessibility</x:v>
      </x:c>
      <x:c r="C180" s="29" t="str">
        <x:v>Meta and channel control centers</x:v>
      </x:c>
      <x:c r="D180" s="29" t="str">
        <x:v>G1</x:v>
      </x:c>
      <x:c r="E180" s="29" t="str">
        <x:v>P0</x:v>
      </x:c>
      <x:c r="F180" s="29" t="str">
        <x:v>Experience</x:v>
      </x:c>
      <x:c r="G180" s="39"/>
      <x:c r="H180" s="29" t="str">
        <x:v>PLT-001</x:v>
      </x:c>
      <x:c r="I180" s="39" t="str">
        <x:v>Not started</x:v>
      </x:c>
      <x:c r="J180" s="33" t="n">
        <x:f>IF(AND(I180="Done",N180&lt;&gt;""),1,0)</x:f>
        <x:v>0</x:v>
      </x:c>
      <x:c r="K180" s="29" t="str">
        <x:v>Capabilities are enabled/disabled with reasons per connected asset.</x:v>
      </x:c>
      <x:c r="L180" s="29" t="str">
        <x:v>apps/web/; packages/ui/ (proposed)</x:v>
      </x:c>
      <x:c r="M180" s="29" t="str">
        <x:v>AT-UX-005</x:v>
      </x:c>
      <x:c r="N180" s="39"/>
      <x:c r="O180" s="41"/>
      <x:c r="P180" s="43"/>
      <x:c r="Q180" s="43"/>
      <x:c r="R180" s="29" t="str">
        <x:v>S01,S28</x:v>
      </x:c>
      <x:c r="S180" s="39" t="str">
        <x:v>Proposed target paths; no repository implementation inspected. Completion requires linked evidence.</x:v>
      </x:c>
      <x:c r="T180" s="29" t="str">
        <x:f>IF(I180="Done",IF(N180="","MISSING EVIDENCE","Review evidence"),"Pending")</x:f>
        <x:v>Pending</x:v>
      </x:c>
      <x:c r="U180" s="29" t="str">
        <x:f>IF(AND(Q180&lt;&gt;"",Q180&lt;TODAY(),I180&lt;&gt;"Done"),"OVERDUE","")</x:f>
      </x:c>
    </x:row>
    <x:row r="181" ht="74" customHeight="1">
      <x:c r="A181" s="29" t="str">
        <x:v>UX-006</x:v>
      </x:c>
      <x:c r="B181" s="29" t="str">
        <x:v>Web, mobile and accessibility</x:v>
      </x:c>
      <x:c r="C181" s="29" t="str">
        <x:v>Global search and command palette</x:v>
      </x:c>
      <x:c r="D181" s="29" t="str">
        <x:v>G1</x:v>
      </x:c>
      <x:c r="E181" s="29" t="str">
        <x:v>P0</x:v>
      </x:c>
      <x:c r="F181" s="29" t="str">
        <x:v>Experience</x:v>
      </x:c>
      <x:c r="G181" s="39"/>
      <x:c r="H181" s="29" t="str">
        <x:v>PLT-001</x:v>
      </x:c>
      <x:c r="I181" s="39" t="str">
        <x:v>Not started</x:v>
      </x:c>
      <x:c r="J181" s="33" t="n">
        <x:f>IF(AND(I181="Done",N181&lt;&gt;""),1,0)</x:f>
        <x:v>0</x:v>
      </x:c>
      <x:c r="K181" s="29" t="str">
        <x:v>Results and suggested actions respect user permissions and explicit write confirmation.</x:v>
      </x:c>
      <x:c r="L181" s="29" t="str">
        <x:v>apps/web/; packages/ui/ (proposed)</x:v>
      </x:c>
      <x:c r="M181" s="29" t="str">
        <x:v>AT-UX-006</x:v>
      </x:c>
      <x:c r="N181" s="39"/>
      <x:c r="O181" s="41"/>
      <x:c r="P181" s="43"/>
      <x:c r="Q181" s="43"/>
      <x:c r="R181" s="29" t="str">
        <x:v>S01,S28</x:v>
      </x:c>
      <x:c r="S181" s="39" t="str">
        <x:v>Proposed target paths; no repository implementation inspected. Completion requires linked evidence.</x:v>
      </x:c>
      <x:c r="T181" s="29" t="str">
        <x:f>IF(I181="Done",IF(N181="","MISSING EVIDENCE","Review evidence"),"Pending")</x:f>
        <x:v>Pending</x:v>
      </x:c>
      <x:c r="U181" s="29" t="str">
        <x:f>IF(AND(Q181&lt;&gt;"",Q181&lt;TODAY(),I181&lt;&gt;"Done"),"OVERDUE","")</x:f>
      </x:c>
    </x:row>
    <x:row r="182" ht="74" customHeight="1">
      <x:c r="A182" s="29" t="str">
        <x:v>UX-007</x:v>
      </x:c>
      <x:c r="B182" s="29" t="str">
        <x:v>Web, mobile and accessibility</x:v>
      </x:c>
      <x:c r="C182" s="29" t="str">
        <x:v>Notification center</x:v>
      </x:c>
      <x:c r="D182" s="29" t="str">
        <x:v>G1</x:v>
      </x:c>
      <x:c r="E182" s="29" t="str">
        <x:v>P0</x:v>
      </x:c>
      <x:c r="F182" s="29" t="str">
        <x:v>Experience</x:v>
      </x:c>
      <x:c r="G182" s="39"/>
      <x:c r="H182" s="29" t="str">
        <x:v>PLT-001</x:v>
      </x:c>
      <x:c r="I182" s="39" t="str">
        <x:v>Not started</x:v>
      </x:c>
      <x:c r="J182" s="33" t="n">
        <x:f>IF(AND(I182="Done",N182&lt;&gt;""),1,0)</x:f>
        <x:v>0</x:v>
      </x:c>
      <x:c r="K182" s="29" t="str">
        <x:v>Connection, workflow, quality, budget and security notices have delivery preference and dedup controls.</x:v>
      </x:c>
      <x:c r="L182" s="29" t="str">
        <x:v>apps/web/; packages/ui/ (proposed)</x:v>
      </x:c>
      <x:c r="M182" s="29" t="str">
        <x:v>AT-UX-007</x:v>
      </x:c>
      <x:c r="N182" s="39"/>
      <x:c r="O182" s="41"/>
      <x:c r="P182" s="43"/>
      <x:c r="Q182" s="43"/>
      <x:c r="R182" s="29" t="str">
        <x:v>S01,S28</x:v>
      </x:c>
      <x:c r="S182" s="39" t="str">
        <x:v>Proposed target paths; no repository implementation inspected. Completion requires linked evidence.</x:v>
      </x:c>
      <x:c r="T182" s="29" t="str">
        <x:f>IF(I182="Done",IF(N182="","MISSING EVIDENCE","Review evidence"),"Pending")</x:f>
        <x:v>Pending</x:v>
      </x:c>
      <x:c r="U182" s="29" t="str">
        <x:f>IF(AND(Q182&lt;&gt;"",Q182&lt;TODAY(),I182&lt;&gt;"Done"),"OVERDUE","")</x:f>
      </x:c>
    </x:row>
    <x:row r="183" ht="74" customHeight="1">
      <x:c r="A183" s="29" t="str">
        <x:v>UX-008</x:v>
      </x:c>
      <x:c r="B183" s="29" t="str">
        <x:v>Web, mobile and accessibility</x:v>
      </x:c>
      <x:c r="C183" s="29" t="str">
        <x:v>Localization and regional formats</x:v>
      </x:c>
      <x:c r="D183" s="29" t="str">
        <x:v>G1</x:v>
      </x:c>
      <x:c r="E183" s="29" t="str">
        <x:v>P0</x:v>
      </x:c>
      <x:c r="F183" s="29" t="str">
        <x:v>Experience</x:v>
      </x:c>
      <x:c r="G183" s="39"/>
      <x:c r="H183" s="29" t="str">
        <x:v>PLT-001</x:v>
      </x:c>
      <x:c r="I183" s="39" t="str">
        <x:v>Not started</x:v>
      </x:c>
      <x:c r="J183" s="33" t="n">
        <x:f>IF(AND(I183="Done",N183&lt;&gt;""),1,0)</x:f>
        <x:v>0</x:v>
      </x:c>
      <x:c r="K183" s="29" t="str">
        <x:v>Language, RTL, IANA time zones, dates and currency minor units tested.</x:v>
      </x:c>
      <x:c r="L183" s="29" t="str">
        <x:v>apps/web/; packages/ui/ (proposed)</x:v>
      </x:c>
      <x:c r="M183" s="29" t="str">
        <x:v>AT-UX-008</x:v>
      </x:c>
      <x:c r="N183" s="39"/>
      <x:c r="O183" s="41"/>
      <x:c r="P183" s="43"/>
      <x:c r="Q183" s="43"/>
      <x:c r="R183" s="29" t="str">
        <x:v>S01,S28</x:v>
      </x:c>
      <x:c r="S183" s="39" t="str">
        <x:v>Proposed target paths; no repository implementation inspected. Completion requires linked evidence.</x:v>
      </x:c>
      <x:c r="T183" s="29" t="str">
        <x:f>IF(I183="Done",IF(N183="","MISSING EVIDENCE","Review evidence"),"Pending")</x:f>
        <x:v>Pending</x:v>
      </x:c>
      <x:c r="U183" s="29" t="str">
        <x:f>IF(AND(Q183&lt;&gt;"",Q183&lt;TODAY(),I183&lt;&gt;"Done"),"OVERDUE","")</x:f>
      </x:c>
    </x:row>
    <x:row r="184" ht="74" customHeight="1">
      <x:c r="A184" s="29" t="str">
        <x:v>UX-009</x:v>
      </x:c>
      <x:c r="B184" s="29" t="str">
        <x:v>Web, mobile and accessibility</x:v>
      </x:c>
      <x:c r="C184" s="29" t="str">
        <x:v>PWA and mobile operations</x:v>
      </x:c>
      <x:c r="D184" s="29" t="str">
        <x:v>G1</x:v>
      </x:c>
      <x:c r="E184" s="29" t="str">
        <x:v>P0</x:v>
      </x:c>
      <x:c r="F184" s="29" t="str">
        <x:v>Experience</x:v>
      </x:c>
      <x:c r="G184" s="39"/>
      <x:c r="H184" s="29" t="str">
        <x:v>PLT-001</x:v>
      </x:c>
      <x:c r="I184" s="39" t="str">
        <x:v>Not started</x:v>
      </x:c>
      <x:c r="J184" s="33" t="n">
        <x:f>IF(AND(I184="Done",N184&lt;&gt;""),1,0)</x:f>
        <x:v>0</x:v>
      </x:c>
      <x:c r="K184" s="29" t="str">
        <x:v>Inbox, notifications and approvals work on mobile; offline cache excludes sensitive bodies by default. Native Android/iOS expansion remains retained after the responsive/PWA foundation.</x:v>
      </x:c>
      <x:c r="L184" s="29" t="str">
        <x:v>apps/web/; packages/ui/ (proposed)</x:v>
      </x:c>
      <x:c r="M184" s="29" t="str">
        <x:v>AT-UX-009</x:v>
      </x:c>
      <x:c r="N184" s="39"/>
      <x:c r="O184" s="41"/>
      <x:c r="P184" s="43"/>
      <x:c r="Q184" s="43"/>
      <x:c r="R184" s="29" t="str">
        <x:v>S01,S28</x:v>
      </x:c>
      <x:c r="S184" s="39" t="str">
        <x:v>Proposed target paths; no repository implementation inspected. Completion requires linked evidence.</x:v>
      </x:c>
      <x:c r="T184" s="29" t="str">
        <x:f>IF(I184="Done",IF(N184="","MISSING EVIDENCE","Review evidence"),"Pending")</x:f>
        <x:v>Pending</x:v>
      </x:c>
      <x:c r="U184" s="29" t="str">
        <x:f>IF(AND(Q184&lt;&gt;"",Q184&lt;TODAY(),I184&lt;&gt;"Done"),"OVERDUE","")</x:f>
      </x:c>
    </x:row>
    <x:row r="185" ht="74" customHeight="1">
      <x:c r="A185" s="29" t="str">
        <x:v>UX-010</x:v>
      </x:c>
      <x:c r="B185" s="29" t="str">
        <x:v>Web, mobile and accessibility</x:v>
      </x:c>
      <x:c r="C185" s="29" t="str">
        <x:v>Collaboration and optimistic concurrency</x:v>
      </x:c>
      <x:c r="D185" s="29" t="str">
        <x:v>G1</x:v>
      </x:c>
      <x:c r="E185" s="29" t="str">
        <x:v>P0</x:v>
      </x:c>
      <x:c r="F185" s="29" t="str">
        <x:v>Experience</x:v>
      </x:c>
      <x:c r="G185" s="39"/>
      <x:c r="H185" s="29" t="str">
        <x:v>PLT-001</x:v>
      </x:c>
      <x:c r="I185" s="39" t="str">
        <x:v>Not started</x:v>
      </x:c>
      <x:c r="J185" s="33" t="n">
        <x:f>IF(AND(I185="Done",N185&lt;&gt;""),1,0)</x:f>
        <x:v>0</x:v>
      </x:c>
      <x:c r="K185" s="29" t="str">
        <x:v>Simultaneous edits use version checks; users see conflicts rather than silent overwrites.</x:v>
      </x:c>
      <x:c r="L185" s="29" t="str">
        <x:v>apps/web/; packages/ui/ (proposed)</x:v>
      </x:c>
      <x:c r="M185" s="29" t="str">
        <x:v>AT-UX-010</x:v>
      </x:c>
      <x:c r="N185" s="39"/>
      <x:c r="O185" s="41"/>
      <x:c r="P185" s="43"/>
      <x:c r="Q185" s="43"/>
      <x:c r="R185" s="29" t="str">
        <x:v>S01,S28</x:v>
      </x:c>
      <x:c r="S185" s="39" t="str">
        <x:v>Proposed target paths; no repository implementation inspected. Completion requires linked evidence.</x:v>
      </x:c>
      <x:c r="T185" s="29" t="str">
        <x:f>IF(I185="Done",IF(N185="","MISSING EVIDENCE","Review evidence"),"Pending")</x:f>
        <x:v>Pending</x:v>
      </x:c>
      <x:c r="U185" s="29" t="str">
        <x:f>IF(AND(Q185&lt;&gt;"",Q185&lt;TODAY(),I185&lt;&gt;"Done"),"OVERDUE","")</x:f>
      </x:c>
    </x:row>
    <x:row r="186" ht="74" customHeight="1">
      <x:c r="A186" s="29" t="str">
        <x:v>CMP-001</x:v>
      </x:c>
      <x:c r="B186" s="29" t="str">
        <x:v>Campaigns and marketing</x:v>
      </x:c>
      <x:c r="C186" s="29" t="str">
        <x:v>Audience and segment builder</x:v>
      </x:c>
      <x:c r="D186" s="29" t="str">
        <x:v>G2</x:v>
      </x:c>
      <x:c r="E186" s="29" t="str">
        <x:v>P1</x:v>
      </x:c>
      <x:c r="F186" s="29" t="str">
        <x:v>Growth</x:v>
      </x:c>
      <x:c r="G186" s="39"/>
      <x:c r="H186" s="29" t="str">
        <x:v>CUS-003, MSG-002</x:v>
      </x:c>
      <x:c r="I186" s="39" t="str">
        <x:v>Not started</x:v>
      </x:c>
      <x:c r="J186" s="33" t="n">
        <x:f>IF(AND(I186="Done",N186&lt;&gt;""),1,0)</x:f>
        <x:v>0</x:v>
      </x:c>
      <x:c r="K186" s="29" t="str">
        <x:v>Preview includes eligible/blocked counts with reasons and reproducible audience snapshot.</x:v>
      </x:c>
      <x:c r="L186" s="29" t="str">
        <x:v>services/core/campaigns/ (proposed)</x:v>
      </x:c>
      <x:c r="M186" s="29" t="str">
        <x:v>AT-CMP-001</x:v>
      </x:c>
      <x:c r="N186" s="39"/>
      <x:c r="O186" s="41"/>
      <x:c r="P186" s="43"/>
      <x:c r="Q186" s="43"/>
      <x:c r="R186" s="29" t="str">
        <x:v>S03,S05</x:v>
      </x:c>
      <x:c r="S186" s="39" t="str">
        <x:v>Proposed target paths; no repository implementation inspected. Completion requires linked evidence.</x:v>
      </x:c>
      <x:c r="T186" s="29" t="str">
        <x:f>IF(I186="Done",IF(N186="","MISSING EVIDENCE","Review evidence"),"Pending")</x:f>
        <x:v>Pending</x:v>
      </x:c>
      <x:c r="U186" s="29" t="str">
        <x:f>IF(AND(Q186&lt;&gt;"",Q186&lt;TODAY(),I186&lt;&gt;"Done"),"OVERDUE","")</x:f>
      </x:c>
    </x:row>
    <x:row r="187" ht="74" customHeight="1">
      <x:c r="A187" s="29" t="str">
        <x:v>CMP-002</x:v>
      </x:c>
      <x:c r="B187" s="29" t="str">
        <x:v>Campaigns and marketing</x:v>
      </x:c>
      <x:c r="C187" s="29" t="str">
        <x:v>Campaign authoring and approval</x:v>
      </x:c>
      <x:c r="D187" s="29" t="str">
        <x:v>G2</x:v>
      </x:c>
      <x:c r="E187" s="29" t="str">
        <x:v>P1</x:v>
      </x:c>
      <x:c r="F187" s="29" t="str">
        <x:v>Growth</x:v>
      </x:c>
      <x:c r="G187" s="39"/>
      <x:c r="H187" s="29" t="str">
        <x:v>CUS-003, MSG-002</x:v>
      </x:c>
      <x:c r="I187" s="39" t="str">
        <x:v>Not started</x:v>
      </x:c>
      <x:c r="J187" s="33" t="n">
        <x:f>IF(AND(I187="Done",N187&lt;&gt;""),1,0)</x:f>
        <x:v>0</x:v>
      </x:c>
      <x:c r="K187" s="29" t="str">
        <x:v>Template/message preview, budgets and supervisor approval bind the exact campaign version.</x:v>
      </x:c>
      <x:c r="L187" s="29" t="str">
        <x:v>services/core/campaigns/ (proposed)</x:v>
      </x:c>
      <x:c r="M187" s="29" t="str">
        <x:v>AT-CMP-002</x:v>
      </x:c>
      <x:c r="N187" s="39"/>
      <x:c r="O187" s="41"/>
      <x:c r="P187" s="43"/>
      <x:c r="Q187" s="43"/>
      <x:c r="R187" s="29" t="str">
        <x:v>S03,S05</x:v>
      </x:c>
      <x:c r="S187" s="39" t="str">
        <x:v>Proposed target paths; no repository implementation inspected. Completion requires linked evidence.</x:v>
      </x:c>
      <x:c r="T187" s="29" t="str">
        <x:f>IF(I187="Done",IF(N187="","MISSING EVIDENCE","Review evidence"),"Pending")</x:f>
        <x:v>Pending</x:v>
      </x:c>
      <x:c r="U187" s="29" t="str">
        <x:f>IF(AND(Q187&lt;&gt;"",Q187&lt;TODAY(),I187&lt;&gt;"Done"),"OVERDUE","")</x:f>
      </x:c>
    </x:row>
    <x:row r="188" ht="74" customHeight="1">
      <x:c r="A188" s="29" t="str">
        <x:v>CMP-003</x:v>
      </x:c>
      <x:c r="B188" s="29" t="str">
        <x:v>Campaigns and marketing</x:v>
      </x:c>
      <x:c r="C188" s="29" t="str">
        <x:v>Schedules and quiet hours</x:v>
      </x:c>
      <x:c r="D188" s="29" t="str">
        <x:v>G2</x:v>
      </x:c>
      <x:c r="E188" s="29" t="str">
        <x:v>P1</x:v>
      </x:c>
      <x:c r="F188" s="29" t="str">
        <x:v>Growth</x:v>
      </x:c>
      <x:c r="G188" s="39"/>
      <x:c r="H188" s="29" t="str">
        <x:v>CUS-003, MSG-002</x:v>
      </x:c>
      <x:c r="I188" s="39" t="str">
        <x:v>Not started</x:v>
      </x:c>
      <x:c r="J188" s="33" t="n">
        <x:f>IF(AND(I188="Done",N188&lt;&gt;""),1,0)</x:f>
        <x:v>0</x:v>
      </x:c>
      <x:c r="K188" s="29" t="str">
        <x:v>Time-zone-aware dispatch rechecks consent/window/template availability after waits.</x:v>
      </x:c>
      <x:c r="L188" s="29" t="str">
        <x:v>services/core/campaigns/ (proposed)</x:v>
      </x:c>
      <x:c r="M188" s="29" t="str">
        <x:v>AT-CMP-003</x:v>
      </x:c>
      <x:c r="N188" s="39"/>
      <x:c r="O188" s="41"/>
      <x:c r="P188" s="43"/>
      <x:c r="Q188" s="43"/>
      <x:c r="R188" s="29" t="str">
        <x:v>S03,S05</x:v>
      </x:c>
      <x:c r="S188" s="39" t="str">
        <x:v>Proposed target paths; no repository implementation inspected. Completion requires linked evidence.</x:v>
      </x:c>
      <x:c r="T188" s="29" t="str">
        <x:f>IF(I188="Done",IF(N188="","MISSING EVIDENCE","Review evidence"),"Pending")</x:f>
        <x:v>Pending</x:v>
      </x:c>
      <x:c r="U188" s="29" t="str">
        <x:f>IF(AND(Q188&lt;&gt;"",Q188&lt;TODAY(),I188&lt;&gt;"Done"),"OVERDUE","")</x:f>
      </x:c>
    </x:row>
    <x:row r="189" ht="74" customHeight="1">
      <x:c r="A189" s="29" t="str">
        <x:v>CMP-004</x:v>
      </x:c>
      <x:c r="B189" s="29" t="str">
        <x:v>Campaigns and marketing</x:v>
      </x:c>
      <x:c r="C189" s="29" t="str">
        <x:v>Frequency caps and suppression</x:v>
      </x:c>
      <x:c r="D189" s="29" t="str">
        <x:v>G2</x:v>
      </x:c>
      <x:c r="E189" s="29" t="str">
        <x:v>P1</x:v>
      </x:c>
      <x:c r="F189" s="29" t="str">
        <x:v>Growth</x:v>
      </x:c>
      <x:c r="G189" s="39"/>
      <x:c r="H189" s="29" t="str">
        <x:v>CUS-003, MSG-002</x:v>
      </x:c>
      <x:c r="I189" s="39" t="str">
        <x:v>Not started</x:v>
      </x:c>
      <x:c r="J189" s="33" t="n">
        <x:f>IF(AND(I189="Done",N189&lt;&gt;""),1,0)</x:f>
        <x:v>0</x:v>
      </x:c>
      <x:c r="K189" s="29" t="str">
        <x:v>Cross-campaign caps apply per recipient/purpose; opt-out has immediate priority.</x:v>
      </x:c>
      <x:c r="L189" s="29" t="str">
        <x:v>services/core/campaigns/ (proposed)</x:v>
      </x:c>
      <x:c r="M189" s="29" t="str">
        <x:v>AT-CMP-004</x:v>
      </x:c>
      <x:c r="N189" s="39"/>
      <x:c r="O189" s="41"/>
      <x:c r="P189" s="43"/>
      <x:c r="Q189" s="43"/>
      <x:c r="R189" s="29" t="str">
        <x:v>S03,S05</x:v>
      </x:c>
      <x:c r="S189" s="39" t="str">
        <x:v>Proposed target paths; no repository implementation inspected. Completion requires linked evidence.</x:v>
      </x:c>
      <x:c r="T189" s="29" t="str">
        <x:f>IF(I189="Done",IF(N189="","MISSING EVIDENCE","Review evidence"),"Pending")</x:f>
        <x:v>Pending</x:v>
      </x:c>
      <x:c r="U189" s="29" t="str">
        <x:f>IF(AND(Q189&lt;&gt;"",Q189&lt;TODAY(),I189&lt;&gt;"Done"),"OVERDUE","")</x:f>
      </x:c>
    </x:row>
    <x:row r="190" ht="74" customHeight="1">
      <x:c r="A190" s="29" t="str">
        <x:v>CMP-005</x:v>
      </x:c>
      <x:c r="B190" s="29" t="str">
        <x:v>Campaigns and marketing</x:v>
      </x:c>
      <x:c r="C190" s="29" t="str">
        <x:v>A/B testing and attribution</x:v>
      </x:c>
      <x:c r="D190" s="29" t="str">
        <x:v>G2</x:v>
      </x:c>
      <x:c r="E190" s="29" t="str">
        <x:v>P1</x:v>
      </x:c>
      <x:c r="F190" s="29" t="str">
        <x:v>Growth</x:v>
      </x:c>
      <x:c r="G190" s="39"/>
      <x:c r="H190" s="29" t="str">
        <x:v>CUS-003, MSG-002</x:v>
      </x:c>
      <x:c r="I190" s="39" t="str">
        <x:v>Not started</x:v>
      </x:c>
      <x:c r="J190" s="33" t="n">
        <x:f>IF(AND(I190="Done",N190&lt;&gt;""),1,0)</x:f>
        <x:v>0</x:v>
      </x:c>
      <x:c r="K190" s="29" t="str">
        <x:v>Measured conversion evidence, denominators and attribution windows are explicit.</x:v>
      </x:c>
      <x:c r="L190" s="29" t="str">
        <x:v>services/core/campaigns/ (proposed)</x:v>
      </x:c>
      <x:c r="M190" s="29" t="str">
        <x:v>AT-CMP-005</x:v>
      </x:c>
      <x:c r="N190" s="39"/>
      <x:c r="O190" s="41"/>
      <x:c r="P190" s="43"/>
      <x:c r="Q190" s="43"/>
      <x:c r="R190" s="29" t="str">
        <x:v>S03,S05</x:v>
      </x:c>
      <x:c r="S190" s="39" t="str">
        <x:v>Proposed target paths; no repository implementation inspected. Completion requires linked evidence.</x:v>
      </x:c>
      <x:c r="T190" s="29" t="str">
        <x:f>IF(I190="Done",IF(N190="","MISSING EVIDENCE","Review evidence"),"Pending")</x:f>
        <x:v>Pending</x:v>
      </x:c>
      <x:c r="U190" s="29" t="str">
        <x:f>IF(AND(Q190&lt;&gt;"",Q190&lt;TODAY(),I190&lt;&gt;"Done"),"OVERDUE","")</x:f>
      </x:c>
    </x:row>
    <x:row r="191" ht="74" customHeight="1">
      <x:c r="A191" s="29" t="str">
        <x:v>CMP-006</x:v>
      </x:c>
      <x:c r="B191" s="29" t="str">
        <x:v>Campaigns and marketing</x:v>
      </x:c>
      <x:c r="C191" s="29" t="str">
        <x:v>Journey marketing mode</x:v>
      </x:c>
      <x:c r="D191" s="29" t="str">
        <x:v>G2</x:v>
      </x:c>
      <x:c r="E191" s="29" t="str">
        <x:v>P1</x:v>
      </x:c>
      <x:c r="F191" s="29" t="str">
        <x:v>Growth</x:v>
      </x:c>
      <x:c r="G191" s="39"/>
      <x:c r="H191" s="29" t="str">
        <x:v>CUS-003, MSG-002</x:v>
      </x:c>
      <x:c r="I191" s="39" t="str">
        <x:v>Not started</x:v>
      </x:c>
      <x:c r="J191" s="33" t="n">
        <x:f>IF(AND(I191="Done",N191&lt;&gt;""),1,0)</x:f>
        <x:v>0</x:v>
      </x:c>
      <x:c r="K191" s="29" t="str">
        <x:v>Marketing-oriented canvas compiles to the same bounded IR and runtime.</x:v>
      </x:c>
      <x:c r="L191" s="29" t="str">
        <x:v>services/core/campaigns/ (proposed)</x:v>
      </x:c>
      <x:c r="M191" s="29" t="str">
        <x:v>AT-CMP-006</x:v>
      </x:c>
      <x:c r="N191" s="39"/>
      <x:c r="O191" s="41"/>
      <x:c r="P191" s="43"/>
      <x:c r="Q191" s="43"/>
      <x:c r="R191" s="29" t="str">
        <x:v>S03,S05</x:v>
      </x:c>
      <x:c r="S191" s="39" t="str">
        <x:v>Proposed target paths; no repository implementation inspected. Completion requires linked evidence.</x:v>
      </x:c>
      <x:c r="T191" s="29" t="str">
        <x:f>IF(I191="Done",IF(N191="","MISSING EVIDENCE","Review evidence"),"Pending")</x:f>
        <x:v>Pending</x:v>
      </x:c>
      <x:c r="U191" s="29" t="str">
        <x:f>IF(AND(Q191&lt;&gt;"",Q191&lt;TODAY(),I191&lt;&gt;"Done"),"OVERDUE","")</x:f>
      </x:c>
    </x:row>
    <x:row r="192" ht="74" customHeight="1">
      <x:c r="A192" s="29" t="str">
        <x:v>CMP-007</x:v>
      </x:c>
      <x:c r="B192" s="29" t="str">
        <x:v>Campaigns and marketing</x:v>
      </x:c>
      <x:c r="C192" s="29" t="str">
        <x:v>Campaign delivery reporting</x:v>
      </x:c>
      <x:c r="D192" s="29" t="str">
        <x:v>G2</x:v>
      </x:c>
      <x:c r="E192" s="29" t="str">
        <x:v>P1</x:v>
      </x:c>
      <x:c r="F192" s="29" t="str">
        <x:v>Growth</x:v>
      </x:c>
      <x:c r="G192" s="39"/>
      <x:c r="H192" s="29" t="str">
        <x:v>CUS-003, MSG-002</x:v>
      </x:c>
      <x:c r="I192" s="39" t="str">
        <x:v>Not started</x:v>
      </x:c>
      <x:c r="J192" s="33" t="n">
        <x:f>IF(AND(I192="Done",N192&lt;&gt;""),1,0)</x:f>
        <x:v>0</x:v>
      </x:c>
      <x:c r="K192" s="29" t="str">
        <x:v>Accepted/sent/delivered/read/failed/unknown remain distinct; unavailable signals not estimated as facts.</x:v>
      </x:c>
      <x:c r="L192" s="29" t="str">
        <x:v>services/core/campaigns/ (proposed)</x:v>
      </x:c>
      <x:c r="M192" s="29" t="str">
        <x:v>AT-CMP-007</x:v>
      </x:c>
      <x:c r="N192" s="39"/>
      <x:c r="O192" s="41"/>
      <x:c r="P192" s="43"/>
      <x:c r="Q192" s="43"/>
      <x:c r="R192" s="29" t="str">
        <x:v>S03,S05</x:v>
      </x:c>
      <x:c r="S192" s="39" t="str">
        <x:v>Proposed target paths; no repository implementation inspected. Completion requires linked evidence.</x:v>
      </x:c>
      <x:c r="T192" s="29" t="str">
        <x:f>IF(I192="Done",IF(N192="","MISSING EVIDENCE","Review evidence"),"Pending")</x:f>
        <x:v>Pending</x:v>
      </x:c>
      <x:c r="U192" s="29" t="str">
        <x:f>IF(AND(Q192&lt;&gt;"",Q192&lt;TODAY(),I192&lt;&gt;"Done"),"OVERDUE","")</x:f>
      </x:c>
    </x:row>
    <x:row r="193" ht="74" customHeight="1">
      <x:c r="A193" s="29" t="str">
        <x:v>CMP-008</x:v>
      </x:c>
      <x:c r="B193" s="29" t="str">
        <x:v>Campaigns and marketing</x:v>
      </x:c>
      <x:c r="C193" s="29" t="str">
        <x:v>Ads and lead-to-conversation journeys</x:v>
      </x:c>
      <x:c r="D193" s="29" t="str">
        <x:v>G2</x:v>
      </x:c>
      <x:c r="E193" s="29" t="str">
        <x:v>P1</x:v>
      </x:c>
      <x:c r="F193" s="29" t="str">
        <x:v>Growth</x:v>
      </x:c>
      <x:c r="G193" s="39"/>
      <x:c r="H193" s="29" t="str">
        <x:v>CUS-003, MSG-002</x:v>
      </x:c>
      <x:c r="I193" s="39" t="str">
        <x:v>Not started</x:v>
      </x:c>
      <x:c r="J193" s="33" t="n">
        <x:f>IF(AND(I193="Done",N193&lt;&gt;""),1,0)</x:f>
        <x:v>0</x:v>
      </x:c>
      <x:c r="K193" s="29" t="str">
        <x:v>Only authorized lead data and channels are used; channel switch requires customer permission.</x:v>
      </x:c>
      <x:c r="L193" s="29" t="str">
        <x:v>services/core/campaigns/ (proposed)</x:v>
      </x:c>
      <x:c r="M193" s="29" t="str">
        <x:v>AT-CMP-008</x:v>
      </x:c>
      <x:c r="N193" s="39"/>
      <x:c r="O193" s="41"/>
      <x:c r="P193" s="43"/>
      <x:c r="Q193" s="43"/>
      <x:c r="R193" s="29" t="str">
        <x:v>S03,S05</x:v>
      </x:c>
      <x:c r="S193" s="39" t="str">
        <x:v>Proposed target paths; no repository implementation inspected. Completion requires linked evidence.</x:v>
      </x:c>
      <x:c r="T193" s="29" t="str">
        <x:f>IF(I193="Done",IF(N193="","MISSING EVIDENCE","Review evidence"),"Pending")</x:f>
        <x:v>Pending</x:v>
      </x:c>
      <x:c r="U193" s="29" t="str">
        <x:f>IF(AND(Q193&lt;&gt;"",Q193&lt;TODAY(),I193&lt;&gt;"Done"),"OVERDUE","")</x:f>
      </x:c>
    </x:row>
    <x:row r="194" ht="74" customHeight="1">
      <x:c r="A194" s="29" t="str">
        <x:v>COM-001</x:v>
      </x:c>
      <x:c r="B194" s="29" t="str">
        <x:v>CRM, commerce and appointments</x:v>
      </x:c>
      <x:c r="C194" s="29" t="str">
        <x:v>Sales pipeline and tasks</x:v>
      </x:c>
      <x:c r="D194" s="29" t="str">
        <x:v>G2</x:v>
      </x:c>
      <x:c r="E194" s="29" t="str">
        <x:v>P1</x:v>
      </x:c>
      <x:c r="F194" s="29" t="str">
        <x:v>Business</x:v>
      </x:c>
      <x:c r="G194" s="39"/>
      <x:c r="H194" s="29" t="str">
        <x:v>CUS-001, ACT-002</x:v>
      </x:c>
      <x:c r="I194" s="39" t="str">
        <x:v>Not started</x:v>
      </x:c>
      <x:c r="J194" s="33" t="n">
        <x:f>IF(AND(I194="Done",N194&lt;&gt;""),1,0)</x:f>
        <x:v>0</x:v>
      </x:c>
      <x:c r="K194" s="29" t="str">
        <x:v>Lead/deal/stage/task/owner/custom-field lifecycle integrates with workflow events.</x:v>
      </x:c>
      <x:c r="L194" s="29" t="str">
        <x:v>services/core/commerce/ (proposed)</x:v>
      </x:c>
      <x:c r="M194" s="29" t="str">
        <x:v>AT-COM-001</x:v>
      </x:c>
      <x:c r="N194" s="39"/>
      <x:c r="O194" s="41"/>
      <x:c r="P194" s="43"/>
      <x:c r="Q194" s="43"/>
      <x:c r="R194" s="29" t="str">
        <x:v>S01</x:v>
      </x:c>
      <x:c r="S194" s="39" t="str">
        <x:v>Proposed target paths; no repository implementation inspected. Completion requires linked evidence.</x:v>
      </x:c>
      <x:c r="T194" s="29" t="str">
        <x:f>IF(I194="Done",IF(N194="","MISSING EVIDENCE","Review evidence"),"Pending")</x:f>
        <x:v>Pending</x:v>
      </x:c>
      <x:c r="U194" s="29" t="str">
        <x:f>IF(AND(Q194&lt;&gt;"",Q194&lt;TODAY(),I194&lt;&gt;"Done"),"OVERDUE","")</x:f>
      </x:c>
    </x:row>
    <x:row r="195" ht="74" customHeight="1">
      <x:c r="A195" s="29" t="str">
        <x:v>COM-002</x:v>
      </x:c>
      <x:c r="B195" s="29" t="str">
        <x:v>CRM, commerce and appointments</x:v>
      </x:c>
      <x:c r="C195" s="29" t="str">
        <x:v>Products, catalogs and quotes</x:v>
      </x:c>
      <x:c r="D195" s="29" t="str">
        <x:v>G2</x:v>
      </x:c>
      <x:c r="E195" s="29" t="str">
        <x:v>P1</x:v>
      </x:c>
      <x:c r="F195" s="29" t="str">
        <x:v>Business</x:v>
      </x:c>
      <x:c r="G195" s="39"/>
      <x:c r="H195" s="29" t="str">
        <x:v>CUS-001, ACT-002</x:v>
      </x:c>
      <x:c r="I195" s="39" t="str">
        <x:v>Not started</x:v>
      </x:c>
      <x:c r="J195" s="33" t="n">
        <x:f>IF(AND(I195="Done",N195&lt;&gt;""),1,0)</x:f>
        <x:v>0</x:v>
      </x:c>
      <x:c r="K195" s="29" t="str">
        <x:v>Source prices and stock have version/freshness; AI cannot invent discounts.</x:v>
      </x:c>
      <x:c r="L195" s="29" t="str">
        <x:v>services/core/commerce/ (proposed)</x:v>
      </x:c>
      <x:c r="M195" s="29" t="str">
        <x:v>AT-COM-002</x:v>
      </x:c>
      <x:c r="N195" s="39"/>
      <x:c r="O195" s="41"/>
      <x:c r="P195" s="43"/>
      <x:c r="Q195" s="43"/>
      <x:c r="R195" s="29" t="str">
        <x:v>S01</x:v>
      </x:c>
      <x:c r="S195" s="39" t="str">
        <x:v>Proposed target paths; no repository implementation inspected. Completion requires linked evidence.</x:v>
      </x:c>
      <x:c r="T195" s="29" t="str">
        <x:f>IF(I195="Done",IF(N195="","MISSING EVIDENCE","Review evidence"),"Pending")</x:f>
        <x:v>Pending</x:v>
      </x:c>
      <x:c r="U195" s="29" t="str">
        <x:f>IF(AND(Q195&lt;&gt;"",Q195&lt;TODAY(),I195&lt;&gt;"Done"),"OVERDUE","")</x:f>
      </x:c>
    </x:row>
    <x:row r="196" ht="74" customHeight="1">
      <x:c r="A196" s="29" t="str">
        <x:v>COM-003</x:v>
      </x:c>
      <x:c r="B196" s="29" t="str">
        <x:v>CRM, commerce and appointments</x:v>
      </x:c>
      <x:c r="C196" s="29" t="str">
        <x:v>Orders, shipping and returns</x:v>
      </x:c>
      <x:c r="D196" s="29" t="str">
        <x:v>G2</x:v>
      </x:c>
      <x:c r="E196" s="29" t="str">
        <x:v>P1</x:v>
      </x:c>
      <x:c r="F196" s="29" t="str">
        <x:v>Business</x:v>
      </x:c>
      <x:c r="G196" s="39"/>
      <x:c r="H196" s="29" t="str">
        <x:v>CUS-001, ACT-002</x:v>
      </x:c>
      <x:c r="I196" s="39" t="str">
        <x:v>Not started</x:v>
      </x:c>
      <x:c r="J196" s="33" t="n">
        <x:f>IF(AND(I196="Done",N196&lt;&gt;""),1,0)</x:f>
        <x:v>0</x:v>
      </x:c>
      <x:c r="K196" s="29" t="str">
        <x:v>Event-driven sync reconciles source order IDs and cancellation races.</x:v>
      </x:c>
      <x:c r="L196" s="29" t="str">
        <x:v>services/core/commerce/ (proposed)</x:v>
      </x:c>
      <x:c r="M196" s="29" t="str">
        <x:v>AT-COM-003</x:v>
      </x:c>
      <x:c r="N196" s="39"/>
      <x:c r="O196" s="41"/>
      <x:c r="P196" s="43"/>
      <x:c r="Q196" s="43"/>
      <x:c r="R196" s="29" t="str">
        <x:v>S01</x:v>
      </x:c>
      <x:c r="S196" s="39" t="str">
        <x:v>Proposed target paths; no repository implementation inspected. Completion requires linked evidence.</x:v>
      </x:c>
      <x:c r="T196" s="29" t="str">
        <x:f>IF(I196="Done",IF(N196="","MISSING EVIDENCE","Review evidence"),"Pending")</x:f>
        <x:v>Pending</x:v>
      </x:c>
      <x:c r="U196" s="29" t="str">
        <x:f>IF(AND(Q196&lt;&gt;"",Q196&lt;TODAY(),I196&lt;&gt;"Done"),"OVERDUE","")</x:f>
      </x:c>
    </x:row>
    <x:row r="197" ht="74" customHeight="1">
      <x:c r="A197" s="29" t="str">
        <x:v>COM-004</x:v>
      </x:c>
      <x:c r="B197" s="29" t="str">
        <x:v>CRM, commerce and appointments</x:v>
      </x:c>
      <x:c r="C197" s="29" t="str">
        <x:v>Payment links and invoices</x:v>
      </x:c>
      <x:c r="D197" s="29" t="str">
        <x:v>G2</x:v>
      </x:c>
      <x:c r="E197" s="29" t="str">
        <x:v>P1</x:v>
      </x:c>
      <x:c r="F197" s="29" t="str">
        <x:v>Business</x:v>
      </x:c>
      <x:c r="G197" s="39"/>
      <x:c r="H197" s="29" t="str">
        <x:v>CUS-001, ACT-002</x:v>
      </x:c>
      <x:c r="I197" s="39" t="str">
        <x:v>Not started</x:v>
      </x:c>
      <x:c r="J197" s="33" t="n">
        <x:f>IF(AND(I197="Done",N197&lt;&gt;""),1,0)</x:f>
        <x:v>0</x:v>
      </x:c>
      <x:c r="K197" s="29" t="str">
        <x:v>Hosted processor flows avoid collecting card data in messages; status comes from verified callbacks.</x:v>
      </x:c>
      <x:c r="L197" s="29" t="str">
        <x:v>services/core/commerce/ (proposed)</x:v>
      </x:c>
      <x:c r="M197" s="29" t="str">
        <x:v>AT-COM-004</x:v>
      </x:c>
      <x:c r="N197" s="39"/>
      <x:c r="O197" s="41"/>
      <x:c r="P197" s="43"/>
      <x:c r="Q197" s="43"/>
      <x:c r="R197" s="29" t="str">
        <x:v>S01</x:v>
      </x:c>
      <x:c r="S197" s="39" t="str">
        <x:v>Proposed target paths; no repository implementation inspected. Completion requires linked evidence.</x:v>
      </x:c>
      <x:c r="T197" s="29" t="str">
        <x:f>IF(I197="Done",IF(N197="","MISSING EVIDENCE","Review evidence"),"Pending")</x:f>
        <x:v>Pending</x:v>
      </x:c>
      <x:c r="U197" s="29" t="str">
        <x:f>IF(AND(Q197&lt;&gt;"",Q197&lt;TODAY(),I197&lt;&gt;"Done"),"OVERDUE","")</x:f>
      </x:c>
    </x:row>
    <x:row r="198" ht="74" customHeight="1">
      <x:c r="A198" s="29" t="str">
        <x:v>COM-005</x:v>
      </x:c>
      <x:c r="B198" s="29" t="str">
        <x:v>CRM, commerce and appointments</x:v>
      </x:c>
      <x:c r="C198" s="29" t="str">
        <x:v>Refund approval saga</x:v>
      </x:c>
      <x:c r="D198" s="29" t="str">
        <x:v>G2</x:v>
      </x:c>
      <x:c r="E198" s="29" t="str">
        <x:v>P1</x:v>
      </x:c>
      <x:c r="F198" s="29" t="str">
        <x:v>Business</x:v>
      </x:c>
      <x:c r="G198" s="39"/>
      <x:c r="H198" s="29" t="str">
        <x:v>CUS-001, ACT-002</x:v>
      </x:c>
      <x:c r="I198" s="39" t="str">
        <x:v>Not started</x:v>
      </x:c>
      <x:c r="J198" s="33" t="n">
        <x:f>IF(AND(I198="Done",N198&lt;&gt;""),1,0)</x:f>
        <x:v>0</x:v>
      </x:c>
      <x:c r="K198" s="29" t="str">
        <x:v>Approval, processor idempotency, ledger entries and unknown-result recovery are tested.</x:v>
      </x:c>
      <x:c r="L198" s="29" t="str">
        <x:v>services/core/commerce/ (proposed)</x:v>
      </x:c>
      <x:c r="M198" s="29" t="str">
        <x:v>AT-COM-005</x:v>
      </x:c>
      <x:c r="N198" s="39"/>
      <x:c r="O198" s="41"/>
      <x:c r="P198" s="43"/>
      <x:c r="Q198" s="43"/>
      <x:c r="R198" s="29" t="str">
        <x:v>S01</x:v>
      </x:c>
      <x:c r="S198" s="39" t="str">
        <x:v>Proposed target paths; no repository implementation inspected. Completion requires linked evidence.</x:v>
      </x:c>
      <x:c r="T198" s="29" t="str">
        <x:f>IF(I198="Done",IF(N198="","MISSING EVIDENCE","Review evidence"),"Pending")</x:f>
        <x:v>Pending</x:v>
      </x:c>
      <x:c r="U198" s="29" t="str">
        <x:f>IF(AND(Q198&lt;&gt;"",Q198&lt;TODAY(),I198&lt;&gt;"Done"),"OVERDUE","")</x:f>
      </x:c>
    </x:row>
    <x:row r="199" ht="74" customHeight="1">
      <x:c r="A199" s="29" t="str">
        <x:v>COM-006</x:v>
      </x:c>
      <x:c r="B199" s="29" t="str">
        <x:v>CRM, commerce and appointments</x:v>
      </x:c>
      <x:c r="C199" s="29" t="str">
        <x:v>Booking availability and reservations</x:v>
      </x:c>
      <x:c r="D199" s="29" t="str">
        <x:v>G2</x:v>
      </x:c>
      <x:c r="E199" s="29" t="str">
        <x:v>P1</x:v>
      </x:c>
      <x:c r="F199" s="29" t="str">
        <x:v>Business</x:v>
      </x:c>
      <x:c r="G199" s="39"/>
      <x:c r="H199" s="29" t="str">
        <x:v>CUS-001, ACT-002</x:v>
      </x:c>
      <x:c r="I199" s="39" t="str">
        <x:v>Not started</x:v>
      </x:c>
      <x:c r="J199" s="33" t="n">
        <x:f>IF(AND(I199="Done",N199&lt;&gt;""),1,0)</x:f>
        <x:v>0</x:v>
      </x:c>
      <x:c r="K199" s="29" t="str">
        <x:v>Atomic slot reservation avoids double booking; cancellation and reschedule are compensating operations.</x:v>
      </x:c>
      <x:c r="L199" s="29" t="str">
        <x:v>services/core/commerce/ (proposed)</x:v>
      </x:c>
      <x:c r="M199" s="29" t="str">
        <x:v>AT-COM-006</x:v>
      </x:c>
      <x:c r="N199" s="39"/>
      <x:c r="O199" s="41"/>
      <x:c r="P199" s="43"/>
      <x:c r="Q199" s="43"/>
      <x:c r="R199" s="29" t="str">
        <x:v>S01</x:v>
      </x:c>
      <x:c r="S199" s="39" t="str">
        <x:v>Proposed target paths; no repository implementation inspected. Completion requires linked evidence.</x:v>
      </x:c>
      <x:c r="T199" s="29" t="str">
        <x:f>IF(I199="Done",IF(N199="","MISSING EVIDENCE","Review evidence"),"Pending")</x:f>
        <x:v>Pending</x:v>
      </x:c>
      <x:c r="U199" s="29" t="str">
        <x:f>IF(AND(Q199&lt;&gt;"",Q199&lt;TODAY(),I199&lt;&gt;"Done"),"OVERDUE","")</x:f>
      </x:c>
    </x:row>
    <x:row r="200" ht="74" customHeight="1">
      <x:c r="A200" s="29" t="str">
        <x:v>COM-007</x:v>
      </x:c>
      <x:c r="B200" s="29" t="str">
        <x:v>CRM, commerce and appointments</x:v>
      </x:c>
      <x:c r="C200" s="29" t="str">
        <x:v>Forms and customer portals</x:v>
      </x:c>
      <x:c r="D200" s="29" t="str">
        <x:v>G2</x:v>
      </x:c>
      <x:c r="E200" s="29" t="str">
        <x:v>P1</x:v>
      </x:c>
      <x:c r="F200" s="29" t="str">
        <x:v>Business</x:v>
      </x:c>
      <x:c r="G200" s="39"/>
      <x:c r="H200" s="29" t="str">
        <x:v>CUS-001, ACT-002</x:v>
      </x:c>
      <x:c r="I200" s="39" t="str">
        <x:v>Not started</x:v>
      </x:c>
      <x:c r="J200" s="33" t="n">
        <x:f>IF(AND(I200="Done",N200&lt;&gt;""),1,0)</x:f>
        <x:v>0</x:v>
      </x:c>
      <x:c r="K200" s="29" t="str">
        <x:v>Forms/booking/status pages use scoped short-lived sessions and validated customer identity.</x:v>
      </x:c>
      <x:c r="L200" s="29" t="str">
        <x:v>services/core/commerce/ (proposed)</x:v>
      </x:c>
      <x:c r="M200" s="29" t="str">
        <x:v>AT-COM-007</x:v>
      </x:c>
      <x:c r="N200" s="39"/>
      <x:c r="O200" s="41"/>
      <x:c r="P200" s="43"/>
      <x:c r="Q200" s="43"/>
      <x:c r="R200" s="29" t="str">
        <x:v>S01</x:v>
      </x:c>
      <x:c r="S200" s="39" t="str">
        <x:v>Proposed target paths; no repository implementation inspected. Completion requires linked evidence.</x:v>
      </x:c>
      <x:c r="T200" s="29" t="str">
        <x:f>IF(I200="Done",IF(N200="","MISSING EVIDENCE","Review evidence"),"Pending")</x:f>
        <x:v>Pending</x:v>
      </x:c>
      <x:c r="U200" s="29" t="str">
        <x:f>IF(AND(Q200&lt;&gt;"",Q200&lt;TODAY(),I200&lt;&gt;"Done"),"OVERDUE","")</x:f>
      </x:c>
    </x:row>
    <x:row r="201" ht="74" customHeight="1">
      <x:c r="A201" s="29" t="str">
        <x:v>COM-008</x:v>
      </x:c>
      <x:c r="B201" s="29" t="str">
        <x:v>CRM, commerce and appointments</x:v>
      </x:c>
      <x:c r="C201" s="29" t="str">
        <x:v>Subscriptions and commerce analytics</x:v>
      </x:c>
      <x:c r="D201" s="29" t="str">
        <x:v>G2</x:v>
      </x:c>
      <x:c r="E201" s="29" t="str">
        <x:v>P1</x:v>
      </x:c>
      <x:c r="F201" s="29" t="str">
        <x:v>Business</x:v>
      </x:c>
      <x:c r="G201" s="39"/>
      <x:c r="H201" s="29" t="str">
        <x:v>CUS-001, ACT-002</x:v>
      </x:c>
      <x:c r="I201" s="39" t="str">
        <x:v>Not started</x:v>
      </x:c>
      <x:c r="J201" s="33" t="n">
        <x:f>IF(AND(I201="Done",N201&lt;&gt;""),1,0)</x:f>
        <x:v>0</x:v>
      </x:c>
      <x:c r="K201" s="29" t="str">
        <x:v>Renewals/failed payments reconcile against authoritative processor state.</x:v>
      </x:c>
      <x:c r="L201" s="29" t="str">
        <x:v>services/core/commerce/ (proposed)</x:v>
      </x:c>
      <x:c r="M201" s="29" t="str">
        <x:v>AT-COM-008</x:v>
      </x:c>
      <x:c r="N201" s="39"/>
      <x:c r="O201" s="41"/>
      <x:c r="P201" s="43"/>
      <x:c r="Q201" s="43"/>
      <x:c r="R201" s="29" t="str">
        <x:v>S01</x:v>
      </x:c>
      <x:c r="S201" s="39" t="str">
        <x:v>Proposed target paths; no repository implementation inspected. Completion requires linked evidence.</x:v>
      </x:c>
      <x:c r="T201" s="29" t="str">
        <x:f>IF(I201="Done",IF(N201="","MISSING EVIDENCE","Review evidence"),"Pending")</x:f>
        <x:v>Pending</x:v>
      </x:c>
      <x:c r="U201" s="29" t="str">
        <x:f>IF(AND(Q201&lt;&gt;"",Q201&lt;TODAY(),I201&lt;&gt;"Done"),"OVERDUE","")</x:f>
      </x:c>
    </x:row>
    <x:row r="202" ht="74" customHeight="1">
      <x:c r="A202" s="29" t="str">
        <x:v>VOC-001</x:v>
      </x:c>
      <x:c r="B202" s="29" t="str">
        <x:v>Voice and calling</x:v>
      </x:c>
      <x:c r="C202" s="29" t="str">
        <x:v>WhatsApp calling eligibility</x:v>
      </x:c>
      <x:c r="D202" s="29" t="str">
        <x:v>G3</x:v>
      </x:c>
      <x:c r="E202" s="29" t="str">
        <x:v>P1</x:v>
      </x:c>
      <x:c r="F202" s="29" t="str">
        <x:v>Voice</x:v>
      </x:c>
      <x:c r="G202" s="39"/>
      <x:c r="H202" s="29" t="str">
        <x:v>MSG-007, WHA-004</x:v>
      </x:c>
      <x:c r="I202" s="39" t="str">
        <x:v>Not started</x:v>
      </x:c>
      <x:c r="J202" s="33" t="n">
        <x:f>IF(AND(I202="Done",N202&lt;&gt;""),1,0)</x:f>
        <x:v>0</x:v>
      </x:c>
      <x:c r="K202" s="29" t="str">
        <x:v>Supported account/country/permission checks precede activation; technical contract test is recorded.</x:v>
      </x:c>
      <x:c r="L202" s="29" t="str">
        <x:v>services/voice/ (proposed)</x:v>
      </x:c>
      <x:c r="M202" s="29" t="str">
        <x:v>AT-VOC-001</x:v>
      </x:c>
      <x:c r="N202" s="39"/>
      <x:c r="O202" s="41"/>
      <x:c r="P202" s="43"/>
      <x:c r="Q202" s="43"/>
      <x:c r="R202" s="29" t="str">
        <x:v>S07</x:v>
      </x:c>
      <x:c r="S202" s="39" t="str">
        <x:v>Proposed target paths; no repository implementation inspected. Completion requires linked evidence.</x:v>
      </x:c>
      <x:c r="T202" s="29" t="str">
        <x:f>IF(I202="Done",IF(N202="","MISSING EVIDENCE","Review evidence"),"Pending")</x:f>
        <x:v>Pending</x:v>
      </x:c>
      <x:c r="U202" s="29" t="str">
        <x:f>IF(AND(Q202&lt;&gt;"",Q202&lt;TODAY(),I202&lt;&gt;"Done"),"OVERDUE","")</x:f>
      </x:c>
    </x:row>
    <x:row r="203" ht="74" customHeight="1">
      <x:c r="A203" s="29" t="str">
        <x:v>VOC-002</x:v>
      </x:c>
      <x:c r="B203" s="29" t="str">
        <x:v>Voice and calling</x:v>
      </x:c>
      <x:c r="C203" s="29" t="str">
        <x:v>SIP/WebRTC signaling adapter</x:v>
      </x:c>
      <x:c r="D203" s="29" t="str">
        <x:v>G3</x:v>
      </x:c>
      <x:c r="E203" s="29" t="str">
        <x:v>P1</x:v>
      </x:c>
      <x:c r="F203" s="29" t="str">
        <x:v>Voice</x:v>
      </x:c>
      <x:c r="G203" s="39"/>
      <x:c r="H203" s="29" t="str">
        <x:v>MSG-007, WHA-004</x:v>
      </x:c>
      <x:c r="I203" s="39" t="str">
        <x:v>Not started</x:v>
      </x:c>
      <x:c r="J203" s="33" t="n">
        <x:f>IF(AND(I203="Done",N203&lt;&gt;""),1,0)</x:f>
        <x:v>0</x:v>
      </x:c>
      <x:c r="K203" s="29" t="str">
        <x:v>Provider offer/answer/ICE or approved SIP flow passes interoperability testing.</x:v>
      </x:c>
      <x:c r="L203" s="29" t="str">
        <x:v>services/voice/ (proposed)</x:v>
      </x:c>
      <x:c r="M203" s="29" t="str">
        <x:v>AT-VOC-002</x:v>
      </x:c>
      <x:c r="N203" s="39"/>
      <x:c r="O203" s="41"/>
      <x:c r="P203" s="43"/>
      <x:c r="Q203" s="43"/>
      <x:c r="R203" s="29" t="str">
        <x:v>S07</x:v>
      </x:c>
      <x:c r="S203" s="39" t="str">
        <x:v>Proposed target paths; no repository implementation inspected. Completion requires linked evidence.</x:v>
      </x:c>
      <x:c r="T203" s="29" t="str">
        <x:f>IF(I203="Done",IF(N203="","MISSING EVIDENCE","Review evidence"),"Pending")</x:f>
        <x:v>Pending</x:v>
      </x:c>
      <x:c r="U203" s="29" t="str">
        <x:f>IF(AND(Q203&lt;&gt;"",Q203&lt;TODAY(),I203&lt;&gt;"Done"),"OVERDUE","")</x:f>
      </x:c>
    </x:row>
    <x:row r="204" ht="74" customHeight="1">
      <x:c r="A204" s="29" t="str">
        <x:v>VOC-003</x:v>
      </x:c>
      <x:c r="B204" s="29" t="str">
        <x:v>Voice and calling</x:v>
      </x:c>
      <x:c r="C204" s="29" t="str">
        <x:v>Media plane and TURN</x:v>
      </x:c>
      <x:c r="D204" s="29" t="str">
        <x:v>G3</x:v>
      </x:c>
      <x:c r="E204" s="29" t="str">
        <x:v>P1</x:v>
      </x:c>
      <x:c r="F204" s="29" t="str">
        <x:v>Voice</x:v>
      </x:c>
      <x:c r="G204" s="39"/>
      <x:c r="H204" s="29" t="str">
        <x:v>MSG-007, WHA-004</x:v>
      </x:c>
      <x:c r="I204" s="39" t="str">
        <x:v>Not started</x:v>
      </x:c>
      <x:c r="J204" s="33" t="n">
        <x:f>IF(AND(I204="Done",N204&lt;&gt;""),1,0)</x:f>
        <x:v>0</x:v>
      </x:c>
      <x:c r="K204" s="29" t="str">
        <x:v>Isolated realtime media fleet handles NAT, packet loss and concurrency independently of Kafka.</x:v>
      </x:c>
      <x:c r="L204" s="29" t="str">
        <x:v>services/voice/ (proposed)</x:v>
      </x:c>
      <x:c r="M204" s="29" t="str">
        <x:v>AT-VOC-003</x:v>
      </x:c>
      <x:c r="N204" s="39"/>
      <x:c r="O204" s="41"/>
      <x:c r="P204" s="43"/>
      <x:c r="Q204" s="43"/>
      <x:c r="R204" s="29" t="str">
        <x:v>S07</x:v>
      </x:c>
      <x:c r="S204" s="39" t="str">
        <x:v>Proposed target paths; no repository implementation inspected. Completion requires linked evidence.</x:v>
      </x:c>
      <x:c r="T204" s="29" t="str">
        <x:f>IF(I204="Done",IF(N204="","MISSING EVIDENCE","Review evidence"),"Pending")</x:f>
        <x:v>Pending</x:v>
      </x:c>
      <x:c r="U204" s="29" t="str">
        <x:f>IF(AND(Q204&lt;&gt;"",Q204&lt;TODAY(),I204&lt;&gt;"Done"),"OVERDUE","")</x:f>
      </x:c>
    </x:row>
    <x:row r="205" ht="74" customHeight="1">
      <x:c r="A205" s="29" t="str">
        <x:v>VOC-004</x:v>
      </x:c>
      <x:c r="B205" s="29" t="str">
        <x:v>Voice and calling</x:v>
      </x:c>
      <x:c r="C205" s="29" t="str">
        <x:v>Human queue and call ownership</x:v>
      </x:c>
      <x:c r="D205" s="29" t="str">
        <x:v>G3</x:v>
      </x:c>
      <x:c r="E205" s="29" t="str">
        <x:v>P1</x:v>
      </x:c>
      <x:c r="F205" s="29" t="str">
        <x:v>Voice</x:v>
      </x:c>
      <x:c r="G205" s="39"/>
      <x:c r="H205" s="29" t="str">
        <x:v>MSG-007, WHA-004</x:v>
      </x:c>
      <x:c r="I205" s="39" t="str">
        <x:v>Not started</x:v>
      </x:c>
      <x:c r="J205" s="33" t="n">
        <x:f>IF(AND(I205="Done",N205&lt;&gt;""),1,0)</x:f>
        <x:v>0</x:v>
      </x:c>
      <x:c r="K205" s="29" t="str">
        <x:v>Accept/reject/terminate/transfer and agent availability states prevent double answering.</x:v>
      </x:c>
      <x:c r="L205" s="29" t="str">
        <x:v>services/voice/ (proposed)</x:v>
      </x:c>
      <x:c r="M205" s="29" t="str">
        <x:v>AT-VOC-004</x:v>
      </x:c>
      <x:c r="N205" s="39"/>
      <x:c r="O205" s="41"/>
      <x:c r="P205" s="43"/>
      <x:c r="Q205" s="43"/>
      <x:c r="R205" s="29" t="str">
        <x:v>S07</x:v>
      </x:c>
      <x:c r="S205" s="39" t="str">
        <x:v>Proposed target paths; no repository implementation inspected. Completion requires linked evidence.</x:v>
      </x:c>
      <x:c r="T205" s="29" t="str">
        <x:f>IF(I205="Done",IF(N205="","MISSING EVIDENCE","Review evidence"),"Pending")</x:f>
        <x:v>Pending</x:v>
      </x:c>
      <x:c r="U205" s="29" t="str">
        <x:f>IF(AND(Q205&lt;&gt;"",Q205&lt;TODAY(),I205&lt;&gt;"Done"),"OVERDUE","")</x:f>
      </x:c>
    </x:row>
    <x:row r="206" ht="74" customHeight="1">
      <x:c r="A206" s="29" t="str">
        <x:v>VOC-005</x:v>
      </x:c>
      <x:c r="B206" s="29" t="str">
        <x:v>Voice and calling</x:v>
      </x:c>
      <x:c r="C206" s="29" t="str">
        <x:v>Recording, transcription and AI voice</x:v>
      </x:c>
      <x:c r="D206" s="29" t="str">
        <x:v>G3</x:v>
      </x:c>
      <x:c r="E206" s="29" t="str">
        <x:v>P1</x:v>
      </x:c>
      <x:c r="F206" s="29" t="str">
        <x:v>Voice</x:v>
      </x:c>
      <x:c r="G206" s="39"/>
      <x:c r="H206" s="29" t="str">
        <x:v>MSG-007, WHA-004</x:v>
      </x:c>
      <x:c r="I206" s="39" t="str">
        <x:v>Not started</x:v>
      </x:c>
      <x:c r="J206" s="33" t="n">
        <x:f>IF(AND(I206="Done",N206&lt;&gt;""),1,0)</x:f>
        <x:v>0</x:v>
      </x:c>
      <x:c r="K206" s="29" t="str">
        <x:v>Consent, retention, AI disclosure where needed and immediate human fallback are enforced.</x:v>
      </x:c>
      <x:c r="L206" s="29" t="str">
        <x:v>services/voice/ (proposed)</x:v>
      </x:c>
      <x:c r="M206" s="29" t="str">
        <x:v>AT-VOC-005</x:v>
      </x:c>
      <x:c r="N206" s="39"/>
      <x:c r="O206" s="41"/>
      <x:c r="P206" s="43"/>
      <x:c r="Q206" s="43"/>
      <x:c r="R206" s="29" t="str">
        <x:v>S07</x:v>
      </x:c>
      <x:c r="S206" s="39" t="str">
        <x:v>Proposed target paths; no repository implementation inspected. Completion requires linked evidence.</x:v>
      </x:c>
      <x:c r="T206" s="29" t="str">
        <x:f>IF(I206="Done",IF(N206="","MISSING EVIDENCE","Review evidence"),"Pending")</x:f>
        <x:v>Pending</x:v>
      </x:c>
      <x:c r="U206" s="29" t="str">
        <x:f>IF(AND(Q206&lt;&gt;"",Q206&lt;TODAY(),I206&lt;&gt;"Done"),"OVERDUE","")</x:f>
      </x:c>
    </x:row>
    <x:row r="207" ht="74" customHeight="1">
      <x:c r="A207" s="29" t="str">
        <x:v>VOC-006</x:v>
      </x:c>
      <x:c r="B207" s="29" t="str">
        <x:v>Voice and calling</x:v>
      </x:c>
      <x:c r="C207" s="29" t="str">
        <x:v>Call usage, summaries and receipts</x:v>
      </x:c>
      <x:c r="D207" s="29" t="str">
        <x:v>G3</x:v>
      </x:c>
      <x:c r="E207" s="29" t="str">
        <x:v>P1</x:v>
      </x:c>
      <x:c r="F207" s="29" t="str">
        <x:v>Voice</x:v>
      </x:c>
      <x:c r="G207" s="39"/>
      <x:c r="H207" s="29" t="str">
        <x:v>MSG-007, WHA-004</x:v>
      </x:c>
      <x:c r="I207" s="39" t="str">
        <x:v>Not started</x:v>
      </x:c>
      <x:c r="J207" s="33" t="n">
        <x:f>IF(AND(I207="Done",N207&lt;&gt;""),1,0)</x:f>
        <x:v>0</x:v>
      </x:c>
      <x:c r="K207" s="29" t="str">
        <x:v>Call state, duration, billing evidence and CRM summaries are separately traceable.</x:v>
      </x:c>
      <x:c r="L207" s="29" t="str">
        <x:v>services/voice/ (proposed)</x:v>
      </x:c>
      <x:c r="M207" s="29" t="str">
        <x:v>AT-VOC-006</x:v>
      </x:c>
      <x:c r="N207" s="39"/>
      <x:c r="O207" s="41"/>
      <x:c r="P207" s="43"/>
      <x:c r="Q207" s="43"/>
      <x:c r="R207" s="29" t="str">
        <x:v>S07</x:v>
      </x:c>
      <x:c r="S207" s="39" t="str">
        <x:v>Proposed target paths; no repository implementation inspected. Completion requires linked evidence.</x:v>
      </x:c>
      <x:c r="T207" s="29" t="str">
        <x:f>IF(I207="Done",IF(N207="","MISSING EVIDENCE","Review evidence"),"Pending")</x:f>
        <x:v>Pending</x:v>
      </x:c>
      <x:c r="U207" s="29" t="str">
        <x:f>IF(AND(Q207&lt;&gt;"",Q207&lt;TODAY(),I207&lt;&gt;"Done"),"OVERDUE","")</x:f>
      </x:c>
    </x:row>
    <x:row r="208" ht="74" customHeight="1">
      <x:c r="A208" s="29" t="str">
        <x:v>SUP-001</x:v>
      </x:c>
      <x:c r="B208" s="29" t="str">
        <x:v>Support and diagnostics</x:v>
      </x:c>
      <x:c r="C208" s="29" t="str">
        <x:v>Public help center and policies</x:v>
      </x:c>
      <x:c r="D208" s="29" t="str">
        <x:v>G1</x:v>
      </x:c>
      <x:c r="E208" s="29" t="str">
        <x:v>P0</x:v>
      </x:c>
      <x:c r="F208" s="29" t="str">
        <x:v>Support</x:v>
      </x:c>
      <x:c r="G208" s="39"/>
      <x:c r="H208" s="29" t="str">
        <x:v>PLT-003</x:v>
      </x:c>
      <x:c r="I208" s="39" t="str">
        <x:v>Not started</x:v>
      </x:c>
      <x:c r="J208" s="33" t="n">
        <x:f>IF(AND(I208="Done",N208&lt;&gt;""),1,0)</x:f>
        <x:v>0</x:v>
      </x:c>
      <x:c r="K208" s="29" t="str">
        <x:v>Searchable docs, contact details, privacy/terms/deletion pages and support forms are live.</x:v>
      </x:c>
      <x:c r="L208" s="29" t="str">
        <x:v>services/core/support/; apps/operations/ (proposed)</x:v>
      </x:c>
      <x:c r="M208" s="29" t="str">
        <x:v>AT-SUP-001</x:v>
      </x:c>
      <x:c r="N208" s="39"/>
      <x:c r="O208" s="41"/>
      <x:c r="P208" s="43"/>
      <x:c r="Q208" s="43"/>
      <x:c r="R208" s="29" t="str">
        <x:v>S01</x:v>
      </x:c>
      <x:c r="S208" s="39" t="str">
        <x:v>Proposed target paths; no repository implementation inspected. Completion requires linked evidence.</x:v>
      </x:c>
      <x:c r="T208" s="29" t="str">
        <x:f>IF(I208="Done",IF(N208="","MISSING EVIDENCE","Review evidence"),"Pending")</x:f>
        <x:v>Pending</x:v>
      </x:c>
      <x:c r="U208" s="29" t="str">
        <x:f>IF(AND(Q208&lt;&gt;"",Q208&lt;TODAY(),I208&lt;&gt;"Done"),"OVERDUE","")</x:f>
      </x:c>
    </x:row>
    <x:row r="209" ht="74" customHeight="1">
      <x:c r="A209" s="29" t="str">
        <x:v>SUP-002</x:v>
      </x:c>
      <x:c r="B209" s="29" t="str">
        <x:v>Support and diagnostics</x:v>
      </x:c>
      <x:c r="C209" s="29" t="str">
        <x:v>Tenant support ticket portal</x:v>
      </x:c>
      <x:c r="D209" s="29" t="str">
        <x:v>G1</x:v>
      </x:c>
      <x:c r="E209" s="29" t="str">
        <x:v>P0</x:v>
      </x:c>
      <x:c r="F209" s="29" t="str">
        <x:v>Support</x:v>
      </x:c>
      <x:c r="G209" s="39"/>
      <x:c r="H209" s="29" t="str">
        <x:v>PLT-003</x:v>
      </x:c>
      <x:c r="I209" s="39" t="str">
        <x:v>Not started</x:v>
      </x:c>
      <x:c r="J209" s="33" t="n">
        <x:f>IF(AND(I209="Done",N209&lt;&gt;""),1,0)</x:f>
        <x:v>0</x:v>
      </x:c>
      <x:c r="K209" s="29" t="str">
        <x:v>Tickets link authorized workflow/message/trace IDs and support secure attachments.</x:v>
      </x:c>
      <x:c r="L209" s="29" t="str">
        <x:v>services/core/support/; apps/operations/ (proposed)</x:v>
      </x:c>
      <x:c r="M209" s="29" t="str">
        <x:v>AT-SUP-002</x:v>
      </x:c>
      <x:c r="N209" s="39"/>
      <x:c r="O209" s="41"/>
      <x:c r="P209" s="43"/>
      <x:c r="Q209" s="43"/>
      <x:c r="R209" s="29" t="str">
        <x:v>S01</x:v>
      </x:c>
      <x:c r="S209" s="39" t="str">
        <x:v>Proposed target paths; no repository implementation inspected. Completion requires linked evidence.</x:v>
      </x:c>
      <x:c r="T209" s="29" t="str">
        <x:f>IF(I209="Done",IF(N209="","MISSING EVIDENCE","Review evidence"),"Pending")</x:f>
        <x:v>Pending</x:v>
      </x:c>
      <x:c r="U209" s="29" t="str">
        <x:f>IF(AND(Q209&lt;&gt;"",Q209&lt;TODAY(),I209&lt;&gt;"Done"),"OVERDUE","")</x:f>
      </x:c>
    </x:row>
    <x:row r="210" ht="74" customHeight="1">
      <x:c r="A210" s="29" t="str">
        <x:v>SUP-003</x:v>
      </x:c>
      <x:c r="B210" s="29" t="str">
        <x:v>Support and diagnostics</x:v>
      </x:c>
      <x:c r="C210" s="29" t="str">
        <x:v>Live support and escalation</x:v>
      </x:c>
      <x:c r="D210" s="29" t="str">
        <x:v>G1</x:v>
      </x:c>
      <x:c r="E210" s="29" t="str">
        <x:v>P0</x:v>
      </x:c>
      <x:c r="F210" s="29" t="str">
        <x:v>Support</x:v>
      </x:c>
      <x:c r="G210" s="39"/>
      <x:c r="H210" s="29" t="str">
        <x:v>PLT-003</x:v>
      </x:c>
      <x:c r="I210" s="39" t="str">
        <x:v>Not started</x:v>
      </x:c>
      <x:c r="J210" s="33" t="n">
        <x:f>IF(AND(I210="Done",N210&lt;&gt;""),1,0)</x:f>
        <x:v>0</x:v>
      </x:c>
      <x:c r="K210" s="29" t="str">
        <x:v>Human handoff and response ownership exist independently of AI availability.</x:v>
      </x:c>
      <x:c r="L210" s="29" t="str">
        <x:v>services/core/support/; apps/operations/ (proposed)</x:v>
      </x:c>
      <x:c r="M210" s="29" t="str">
        <x:v>AT-SUP-003</x:v>
      </x:c>
      <x:c r="N210" s="39"/>
      <x:c r="O210" s="41"/>
      <x:c r="P210" s="43"/>
      <x:c r="Q210" s="43"/>
      <x:c r="R210" s="29" t="str">
        <x:v>S01</x:v>
      </x:c>
      <x:c r="S210" s="39" t="str">
        <x:v>Proposed target paths; no repository implementation inspected. Completion requires linked evidence.</x:v>
      </x:c>
      <x:c r="T210" s="29" t="str">
        <x:f>IF(I210="Done",IF(N210="","MISSING EVIDENCE","Review evidence"),"Pending")</x:f>
        <x:v>Pending</x:v>
      </x:c>
      <x:c r="U210" s="29" t="str">
        <x:f>IF(AND(Q210&lt;&gt;"",Q210&lt;TODAY(),I210&lt;&gt;"Done"),"OVERDUE","")</x:f>
      </x:c>
    </x:row>
    <x:row r="211" ht="74" customHeight="1">
      <x:c r="A211" s="29" t="str">
        <x:v>SUP-004</x:v>
      </x:c>
      <x:c r="B211" s="29" t="str">
        <x:v>Support and diagnostics</x:v>
      </x:c>
      <x:c r="C211" s="29" t="str">
        <x:v>Diagnostic assistant</x:v>
      </x:c>
      <x:c r="D211" s="29" t="str">
        <x:v>G1</x:v>
      </x:c>
      <x:c r="E211" s="29" t="str">
        <x:v>P0</x:v>
      </x:c>
      <x:c r="F211" s="29" t="str">
        <x:v>Support</x:v>
      </x:c>
      <x:c r="G211" s="39"/>
      <x:c r="H211" s="29" t="str">
        <x:v>PLT-003, AIG-001</x:v>
      </x:c>
      <x:c r="I211" s="39" t="str">
        <x:v>Not started</x:v>
      </x:c>
      <x:c r="J211" s="33" t="n">
        <x:f>IF(AND(I211="Done",N211&lt;&gt;""),1,0)</x:f>
        <x:v>0</x:v>
      </x:c>
      <x:c r="K211" s="29" t="str">
        <x:v>Read-only authorized diagnostics cite logs/metrics; repairs need explicit authorization.</x:v>
      </x:c>
      <x:c r="L211" s="29" t="str">
        <x:v>services/core/support/; apps/operations/ (proposed)</x:v>
      </x:c>
      <x:c r="M211" s="29" t="str">
        <x:v>AT-SUP-004</x:v>
      </x:c>
      <x:c r="N211" s="39"/>
      <x:c r="O211" s="41"/>
      <x:c r="P211" s="43"/>
      <x:c r="Q211" s="43"/>
      <x:c r="R211" s="29" t="str">
        <x:v>S01</x:v>
      </x:c>
      <x:c r="S211" s="39" t="str">
        <x:v>Proposed target paths; no repository implementation inspected. Completion requires linked evidence.</x:v>
      </x:c>
      <x:c r="T211" s="29" t="str">
        <x:f>IF(I211="Done",IF(N211="","MISSING EVIDENCE","Review evidence"),"Pending")</x:f>
        <x:v>Pending</x:v>
      </x:c>
      <x:c r="U211" s="29" t="str">
        <x:f>IF(AND(Q211&lt;&gt;"",Q211&lt;TODAY(),I211&lt;&gt;"Done"),"OVERDUE","")</x:f>
      </x:c>
    </x:row>
    <x:row r="212" ht="74" customHeight="1">
      <x:c r="A212" s="29" t="str">
        <x:v>SUP-005</x:v>
      </x:c>
      <x:c r="B212" s="29" t="str">
        <x:v>Support and diagnostics</x:v>
      </x:c>
      <x:c r="C212" s="29" t="str">
        <x:v>Diagnostic bundle redaction</x:v>
      </x:c>
      <x:c r="D212" s="29" t="str">
        <x:v>G1</x:v>
      </x:c>
      <x:c r="E212" s="29" t="str">
        <x:v>P0</x:v>
      </x:c>
      <x:c r="F212" s="29" t="str">
        <x:v>Support</x:v>
      </x:c>
      <x:c r="G212" s="39"/>
      <x:c r="H212" s="29" t="str">
        <x:v>PLT-003</x:v>
      </x:c>
      <x:c r="I212" s="39" t="str">
        <x:v>Not started</x:v>
      </x:c>
      <x:c r="J212" s="33" t="n">
        <x:f>IF(AND(I212="Done",N212&lt;&gt;""),1,0)</x:f>
        <x:v>0</x:v>
      </x:c>
      <x:c r="K212" s="29" t="str">
        <x:v>Export excludes secrets and unrelated tenant data; access is expiring and audited.</x:v>
      </x:c>
      <x:c r="L212" s="29" t="str">
        <x:v>services/core/support/; apps/operations/ (proposed)</x:v>
      </x:c>
      <x:c r="M212" s="29" t="str">
        <x:v>AT-SUP-005</x:v>
      </x:c>
      <x:c r="N212" s="39"/>
      <x:c r="O212" s="41"/>
      <x:c r="P212" s="43"/>
      <x:c r="Q212" s="43"/>
      <x:c r="R212" s="29" t="str">
        <x:v>S01</x:v>
      </x:c>
      <x:c r="S212" s="39" t="str">
        <x:v>Proposed target paths; no repository implementation inspected. Completion requires linked evidence.</x:v>
      </x:c>
      <x:c r="T212" s="29" t="str">
        <x:f>IF(I212="Done",IF(N212="","MISSING EVIDENCE","Review evidence"),"Pending")</x:f>
        <x:v>Pending</x:v>
      </x:c>
      <x:c r="U212" s="29" t="str">
        <x:f>IF(AND(Q212&lt;&gt;"",Q212&lt;TODAY(),I212&lt;&gt;"Done"),"OVERDUE","")</x:f>
      </x:c>
    </x:row>
    <x:row r="213" ht="74" customHeight="1">
      <x:c r="A213" s="29" t="str">
        <x:v>SUP-006</x:v>
      </x:c>
      <x:c r="B213" s="29" t="str">
        <x:v>Support and diagnostics</x:v>
      </x:c>
      <x:c r="C213" s="29" t="str">
        <x:v>Time-limited support access</x:v>
      </x:c>
      <x:c r="D213" s="29" t="str">
        <x:v>G1</x:v>
      </x:c>
      <x:c r="E213" s="29" t="str">
        <x:v>P0</x:v>
      </x:c>
      <x:c r="F213" s="29" t="str">
        <x:v>Support</x:v>
      </x:c>
      <x:c r="G213" s="39"/>
      <x:c r="H213" s="29" t="str">
        <x:v>PLT-003</x:v>
      </x:c>
      <x:c r="I213" s="39" t="str">
        <x:v>Not started</x:v>
      </x:c>
      <x:c r="J213" s="33" t="n">
        <x:f>IF(AND(I213="Done",N213&lt;&gt;""),1,0)</x:f>
        <x:v>0</x:v>
      </x:c>
      <x:c r="K213" s="29" t="str">
        <x:v>Tenant-approved scoped impersonation expires automatically and records every sensitive action.</x:v>
      </x:c>
      <x:c r="L213" s="29" t="str">
        <x:v>services/core/support/; apps/operations/ (proposed)</x:v>
      </x:c>
      <x:c r="M213" s="29" t="str">
        <x:v>AT-SUP-006</x:v>
      </x:c>
      <x:c r="N213" s="39"/>
      <x:c r="O213" s="41"/>
      <x:c r="P213" s="43"/>
      <x:c r="Q213" s="43"/>
      <x:c r="R213" s="29" t="str">
        <x:v>S01</x:v>
      </x:c>
      <x:c r="S213" s="39" t="str">
        <x:v>Proposed target paths; no repository implementation inspected. Completion requires linked evidence.</x:v>
      </x:c>
      <x:c r="T213" s="29" t="str">
        <x:f>IF(I213="Done",IF(N213="","MISSING EVIDENCE","Review evidence"),"Pending")</x:f>
        <x:v>Pending</x:v>
      </x:c>
      <x:c r="U213" s="29" t="str">
        <x:f>IF(AND(Q213&lt;&gt;"",Q213&lt;TODAY(),I213&lt;&gt;"Done"),"OVERDUE","")</x:f>
      </x:c>
    </x:row>
    <x:row r="214" ht="74" customHeight="1">
      <x:c r="A214" s="29" t="str">
        <x:v>SUP-007</x:v>
      </x:c>
      <x:c r="B214" s="29" t="str">
        <x:v>Support and diagnostics</x:v>
      </x:c>
      <x:c r="C214" s="29" t="str">
        <x:v>Public status and incident communication</x:v>
      </x:c>
      <x:c r="D214" s="29" t="str">
        <x:v>G1</x:v>
      </x:c>
      <x:c r="E214" s="29" t="str">
        <x:v>P0</x:v>
      </x:c>
      <x:c r="F214" s="29" t="str">
        <x:v>Support</x:v>
      </x:c>
      <x:c r="G214" s="39"/>
      <x:c r="H214" s="29" t="str">
        <x:v>PLT-003</x:v>
      </x:c>
      <x:c r="I214" s="39" t="str">
        <x:v>Not started</x:v>
      </x:c>
      <x:c r="J214" s="33" t="n">
        <x:f>IF(AND(I214="Done",N214&lt;&gt;""),1,0)</x:f>
        <x:v>0</x:v>
      </x:c>
      <x:c r="K214" s="29" t="str">
        <x:v>Platform and provider incidents are differentiated with updates and postmortems.</x:v>
      </x:c>
      <x:c r="L214" s="29" t="str">
        <x:v>services/core/support/; apps/operations/ (proposed)</x:v>
      </x:c>
      <x:c r="M214" s="29" t="str">
        <x:v>AT-SUP-007</x:v>
      </x:c>
      <x:c r="N214" s="39"/>
      <x:c r="O214" s="41"/>
      <x:c r="P214" s="43"/>
      <x:c r="Q214" s="43"/>
      <x:c r="R214" s="29" t="str">
        <x:v>S01</x:v>
      </x:c>
      <x:c r="S214" s="39" t="str">
        <x:v>Proposed target paths; no repository implementation inspected. Completion requires linked evidence.</x:v>
      </x:c>
      <x:c r="T214" s="29" t="str">
        <x:f>IF(I214="Done",IF(N214="","MISSING EVIDENCE","Review evidence"),"Pending")</x:f>
        <x:v>Pending</x:v>
      </x:c>
      <x:c r="U214" s="29" t="str">
        <x:f>IF(AND(Q214&lt;&gt;"",Q214&lt;TODAY(),I214&lt;&gt;"Done"),"OVERDUE","")</x:f>
      </x:c>
    </x:row>
    <x:row r="215" ht="74" customHeight="1">
      <x:c r="A215" s="29" t="str">
        <x:v>SUP-008</x:v>
      </x:c>
      <x:c r="B215" s="29" t="str">
        <x:v>Support and diagnostics</x:v>
      </x:c>
      <x:c r="C215" s="29" t="str">
        <x:v>Tenant helpdesk module</x:v>
      </x:c>
      <x:c r="D215" s="29" t="str">
        <x:v>G2</x:v>
      </x:c>
      <x:c r="E215" s="29" t="str">
        <x:v>P1</x:v>
      </x:c>
      <x:c r="F215" s="29" t="str">
        <x:v>Support</x:v>
      </x:c>
      <x:c r="G215" s="39"/>
      <x:c r="H215" s="29" t="str">
        <x:v>PLT-003</x:v>
      </x:c>
      <x:c r="I215" s="39" t="str">
        <x:v>Not started</x:v>
      </x:c>
      <x:c r="J215" s="33" t="n">
        <x:f>IF(AND(I215="Done",N215&lt;&gt;""),1,0)</x:f>
        <x:v>0</x:v>
      </x:c>
      <x:c r="K215" s="29" t="str">
        <x:v>Tickets, SLA queues, macros, internal notes, CSAT and QA integrate with conversations.</x:v>
      </x:c>
      <x:c r="L215" s="29" t="str">
        <x:v>services/core/support/; apps/operations/ (proposed)</x:v>
      </x:c>
      <x:c r="M215" s="29" t="str">
        <x:v>AT-SUP-008</x:v>
      </x:c>
      <x:c r="N215" s="39"/>
      <x:c r="O215" s="41"/>
      <x:c r="P215" s="43"/>
      <x:c r="Q215" s="43"/>
      <x:c r="R215" s="29" t="str">
        <x:v>S01</x:v>
      </x:c>
      <x:c r="S215" s="39" t="str">
        <x:v>Proposed target paths; no repository implementation inspected. Completion requires linked evidence.</x:v>
      </x:c>
      <x:c r="T215" s="29" t="str">
        <x:f>IF(I215="Done",IF(N215="","MISSING EVIDENCE","Review evidence"),"Pending")</x:f>
        <x:v>Pending</x:v>
      </x:c>
      <x:c r="U215" s="29" t="str">
        <x:f>IF(AND(Q215&lt;&gt;"",Q215&lt;TODAY(),I215&lt;&gt;"Done"),"OVERDUE","")</x:f>
      </x:c>
    </x:row>
    <x:row r="216" ht="74" customHeight="1">
      <x:c r="A216" s="29" t="str">
        <x:v>BIL-001</x:v>
      </x:c>
      <x:c r="B216" s="29" t="str">
        <x:v>Billing and outcome analytics</x:v>
      </x:c>
      <x:c r="C216" s="29" t="str">
        <x:v>Usage meter and unique meter keys</x:v>
      </x:c>
      <x:c r="D216" s="29" t="str">
        <x:v>G1</x:v>
      </x:c>
      <x:c r="E216" s="29" t="str">
        <x:v>P0</x:v>
      </x:c>
      <x:c r="F216" s="29" t="str">
        <x:v>FinanceData</x:v>
      </x:c>
      <x:c r="G216" s="39"/>
      <x:c r="H216" s="29" t="str">
        <x:v>DAT-001, EVT-002</x:v>
      </x:c>
      <x:c r="I216" s="39" t="str">
        <x:v>Not started</x:v>
      </x:c>
      <x:c r="J216" s="33" t="n">
        <x:f>IF(AND(I216="Done",N216&lt;&gt;""),1,0)</x:f>
        <x:v>0</x:v>
      </x:c>
      <x:c r="K216" s="29" t="str">
        <x:v>Retries do not double-charge messages/actions/tokens; corrections are ledger events.</x:v>
      </x:c>
      <x:c r="L216" s="29" t="str">
        <x:v>services/core/billing/; services/analytics/ (proposed)</x:v>
      </x:c>
      <x:c r="M216" s="29" t="str">
        <x:v>AT-BIL-001</x:v>
      </x:c>
      <x:c r="N216" s="39"/>
      <x:c r="O216" s="41"/>
      <x:c r="P216" s="43"/>
      <x:c r="Q216" s="43"/>
      <x:c r="R216" s="29" t="str">
        <x:v>S05</x:v>
      </x:c>
      <x:c r="S216" s="39" t="str">
        <x:v>Proposed target paths; no repository implementation inspected. Completion requires linked evidence.</x:v>
      </x:c>
      <x:c r="T216" s="29" t="str">
        <x:f>IF(I216="Done",IF(N216="","MISSING EVIDENCE","Review evidence"),"Pending")</x:f>
        <x:v>Pending</x:v>
      </x:c>
      <x:c r="U216" s="29" t="str">
        <x:f>IF(AND(Q216&lt;&gt;"",Q216&lt;TODAY(),I216&lt;&gt;"Done"),"OVERDUE","")</x:f>
      </x:c>
    </x:row>
    <x:row r="217" ht="74" customHeight="1">
      <x:c r="A217" s="29" t="str">
        <x:v>BIL-002</x:v>
      </x:c>
      <x:c r="B217" s="29" t="str">
        <x:v>Billing and outcome analytics</x:v>
      </x:c>
      <x:c r="C217" s="29" t="str">
        <x:v>Pricing catalogue and effective dates</x:v>
      </x:c>
      <x:c r="D217" s="29" t="str">
        <x:v>G1</x:v>
      </x:c>
      <x:c r="E217" s="29" t="str">
        <x:v>P0</x:v>
      </x:c>
      <x:c r="F217" s="29" t="str">
        <x:v>FinanceData</x:v>
      </x:c>
      <x:c r="G217" s="39"/>
      <x:c r="H217" s="29" t="str">
        <x:v>DAT-001, EVT-002</x:v>
      </x:c>
      <x:c r="I217" s="39" t="str">
        <x:v>Not started</x:v>
      </x:c>
      <x:c r="J217" s="33" t="n">
        <x:f>IF(AND(I217="Done",N217&lt;&gt;""),1,0)</x:f>
        <x:v>0</x:v>
      </x:c>
      <x:c r="K217" s="29" t="str">
        <x:v>Rate versions record category/market/currency; estimates remain distinct from actual charges.</x:v>
      </x:c>
      <x:c r="L217" s="29" t="str">
        <x:v>services/core/billing/; services/analytics/ (proposed)</x:v>
      </x:c>
      <x:c r="M217" s="29" t="str">
        <x:v>AT-BIL-002</x:v>
      </x:c>
      <x:c r="N217" s="39"/>
      <x:c r="O217" s="41"/>
      <x:c r="P217" s="43"/>
      <x:c r="Q217" s="43"/>
      <x:c r="R217" s="29" t="str">
        <x:v>S05</x:v>
      </x:c>
      <x:c r="S217" s="39" t="str">
        <x:v>Proposed target paths; no repository implementation inspected. Completion requires linked evidence.</x:v>
      </x:c>
      <x:c r="T217" s="29" t="str">
        <x:f>IF(I217="Done",IF(N217="","MISSING EVIDENCE","Review evidence"),"Pending")</x:f>
        <x:v>Pending</x:v>
      </x:c>
      <x:c r="U217" s="29" t="str">
        <x:f>IF(AND(Q217&lt;&gt;"",Q217&lt;TODAY(),I217&lt;&gt;"Done"),"OVERDUE","")</x:f>
      </x:c>
    </x:row>
    <x:row r="218" ht="74" customHeight="1">
      <x:c r="A218" s="29" t="str">
        <x:v>BIL-003</x:v>
      </x:c>
      <x:c r="B218" s="29" t="str">
        <x:v>Billing and outcome analytics</x:v>
      </x:c>
      <x:c r="C218" s="29" t="str">
        <x:v>Double-entry financial ledger</x:v>
      </x:c>
      <x:c r="D218" s="29" t="str">
        <x:v>G1</x:v>
      </x:c>
      <x:c r="E218" s="29" t="str">
        <x:v>P0</x:v>
      </x:c>
      <x:c r="F218" s="29" t="str">
        <x:v>FinanceData</x:v>
      </x:c>
      <x:c r="G218" s="39"/>
      <x:c r="H218" s="29" t="str">
        <x:v>DAT-001, EVT-002</x:v>
      </x:c>
      <x:c r="I218" s="39" t="str">
        <x:v>Not started</x:v>
      </x:c>
      <x:c r="J218" s="33" t="n">
        <x:f>IF(AND(I218="Done",N218&lt;&gt;""),1,0)</x:f>
        <x:v>0</x:v>
      </x:c>
      <x:c r="K218" s="29" t="str">
        <x:v>Integer money, reservations, charges, refunds and reconciliation balance under concurrency.</x:v>
      </x:c>
      <x:c r="L218" s="29" t="str">
        <x:v>services/core/billing/; services/analytics/ (proposed)</x:v>
      </x:c>
      <x:c r="M218" s="29" t="str">
        <x:v>AT-BIL-003</x:v>
      </x:c>
      <x:c r="N218" s="39"/>
      <x:c r="O218" s="41"/>
      <x:c r="P218" s="43"/>
      <x:c r="Q218" s="43"/>
      <x:c r="R218" s="29" t="str">
        <x:v>S05</x:v>
      </x:c>
      <x:c r="S218" s="39" t="str">
        <x:v>Proposed target paths; no repository implementation inspected. Completion requires linked evidence.</x:v>
      </x:c>
      <x:c r="T218" s="29" t="str">
        <x:f>IF(I218="Done",IF(N218="","MISSING EVIDENCE","Review evidence"),"Pending")</x:f>
        <x:v>Pending</x:v>
      </x:c>
      <x:c r="U218" s="29" t="str">
        <x:f>IF(AND(Q218&lt;&gt;"",Q218&lt;TODAY(),I218&lt;&gt;"Done"),"OVERDUE","")</x:f>
      </x:c>
    </x:row>
    <x:row r="219" ht="74" customHeight="1">
      <x:c r="A219" s="29" t="str">
        <x:v>BIL-004</x:v>
      </x:c>
      <x:c r="B219" s="29" t="str">
        <x:v>Billing and outcome analytics</x:v>
      </x:c>
      <x:c r="C219" s="29" t="str">
        <x:v>Subscriptions and invoicing</x:v>
      </x:c>
      <x:c r="D219" s="29" t="str">
        <x:v>G1</x:v>
      </x:c>
      <x:c r="E219" s="29" t="str">
        <x:v>P0</x:v>
      </x:c>
      <x:c r="F219" s="29" t="str">
        <x:v>FinanceData</x:v>
      </x:c>
      <x:c r="G219" s="39"/>
      <x:c r="H219" s="29" t="str">
        <x:v>DAT-001, EVT-002</x:v>
      </x:c>
      <x:c r="I219" s="39" t="str">
        <x:v>Not started</x:v>
      </x:c>
      <x:c r="J219" s="33" t="n">
        <x:f>IF(AND(I219="Done",N219&lt;&gt;""),1,0)</x:f>
        <x:v>0</x:v>
      </x:c>
      <x:c r="K219" s="29" t="str">
        <x:v>Trial, plans, dunning, credits, cancellations and tax integration have auditable state.</x:v>
      </x:c>
      <x:c r="L219" s="29" t="str">
        <x:v>services/core/billing/; services/analytics/ (proposed)</x:v>
      </x:c>
      <x:c r="M219" s="29" t="str">
        <x:v>AT-BIL-004</x:v>
      </x:c>
      <x:c r="N219" s="39"/>
      <x:c r="O219" s="41"/>
      <x:c r="P219" s="43"/>
      <x:c r="Q219" s="43"/>
      <x:c r="R219" s="29" t="str">
        <x:v>S05</x:v>
      </x:c>
      <x:c r="S219" s="39" t="str">
        <x:v>Proposed target paths; no repository implementation inspected. Completion requires linked evidence.</x:v>
      </x:c>
      <x:c r="T219" s="29" t="str">
        <x:f>IF(I219="Done",IF(N219="","MISSING EVIDENCE","Review evidence"),"Pending")</x:f>
        <x:v>Pending</x:v>
      </x:c>
      <x:c r="U219" s="29" t="str">
        <x:f>IF(AND(Q219&lt;&gt;"",Q219&lt;TODAY(),I219&lt;&gt;"Done"),"OVERDUE","")</x:f>
      </x:c>
    </x:row>
    <x:row r="220" ht="74" customHeight="1">
      <x:c r="A220" s="29" t="str">
        <x:v>BIL-005</x:v>
      </x:c>
      <x:c r="B220" s="29" t="str">
        <x:v>Billing and outcome analytics</x:v>
      </x:c>
      <x:c r="C220" s="29" t="str">
        <x:v>Provider billing separation</x:v>
      </x:c>
      <x:c r="D220" s="29" t="str">
        <x:v>G1</x:v>
      </x:c>
      <x:c r="E220" s="29" t="str">
        <x:v>P0</x:v>
      </x:c>
      <x:c r="F220" s="29" t="str">
        <x:v>FinanceData</x:v>
      </x:c>
      <x:c r="G220" s="39"/>
      <x:c r="H220" s="29" t="str">
        <x:v>DAT-001, EVT-002, WHA-002</x:v>
      </x:c>
      <x:c r="I220" s="39" t="str">
        <x:v>Not started</x:v>
      </x:c>
      <x:c r="J220" s="33" t="n">
        <x:f>IF(AND(I220="Done",N220&lt;&gt;""),1,0)</x:f>
        <x:v>0</x:v>
      </x:c>
      <x:c r="K220" s="29" t="str">
        <x:v>Tech Provider SaaS billing is separate from Meta usage; credit-line mode remains approval-gated.</x:v>
      </x:c>
      <x:c r="L220" s="29" t="str">
        <x:v>services/core/billing/; services/analytics/ (proposed)</x:v>
      </x:c>
      <x:c r="M220" s="29" t="str">
        <x:v>AT-BIL-005</x:v>
      </x:c>
      <x:c r="N220" s="39"/>
      <x:c r="O220" s="41"/>
      <x:c r="P220" s="43"/>
      <x:c r="Q220" s="43"/>
      <x:c r="R220" s="29" t="str">
        <x:v>S05</x:v>
      </x:c>
      <x:c r="S220" s="39" t="str">
        <x:v>Proposed target paths; no repository implementation inspected. Completion requires linked evidence.</x:v>
      </x:c>
      <x:c r="T220" s="29" t="str">
        <x:f>IF(I220="Done",IF(N220="","MISSING EVIDENCE","Review evidence"),"Pending")</x:f>
        <x:v>Pending</x:v>
      </x:c>
      <x:c r="U220" s="29" t="str">
        <x:f>IF(AND(Q220&lt;&gt;"",Q220&lt;TODAY(),I220&lt;&gt;"Done"),"OVERDUE","")</x:f>
      </x:c>
    </x:row>
    <x:row r="221" ht="74" customHeight="1">
      <x:c r="A221" s="29" t="str">
        <x:v>BIL-006</x:v>
      </x:c>
      <x:c r="B221" s="29" t="str">
        <x:v>Billing and outcome analytics</x:v>
      </x:c>
      <x:c r="C221" s="29" t="str">
        <x:v>Outcome and business dashboards</x:v>
      </x:c>
      <x:c r="D221" s="29" t="str">
        <x:v>G2</x:v>
      </x:c>
      <x:c r="E221" s="29" t="str">
        <x:v>P1</x:v>
      </x:c>
      <x:c r="F221" s="29" t="str">
        <x:v>FinanceData</x:v>
      </x:c>
      <x:c r="G221" s="39"/>
      <x:c r="H221" s="29" t="str">
        <x:v>DAT-001, EVT-002</x:v>
      </x:c>
      <x:c r="I221" s="39" t="str">
        <x:v>Not started</x:v>
      </x:c>
      <x:c r="J221" s="33" t="n">
        <x:f>IF(AND(I221="Done",N221&lt;&gt;""),1,0)</x:f>
        <x:v>0</x:v>
      </x:c>
      <x:c r="K221" s="29" t="str">
        <x:v>Verified outcomes and statistical comparisons show data freshness and cannot claim simulated uplift.</x:v>
      </x:c>
      <x:c r="L221" s="29" t="str">
        <x:v>services/core/billing/; services/analytics/ (proposed)</x:v>
      </x:c>
      <x:c r="M221" s="29" t="str">
        <x:v>AT-BIL-006</x:v>
      </x:c>
      <x:c r="N221" s="39"/>
      <x:c r="O221" s="41"/>
      <x:c r="P221" s="43"/>
      <x:c r="Q221" s="43"/>
      <x:c r="R221" s="29" t="str">
        <x:v>S05</x:v>
      </x:c>
      <x:c r="S221" s="39" t="str">
        <x:v>Proposed target paths; no repository implementation inspected. Completion requires linked evidence.</x:v>
      </x:c>
      <x:c r="T221" s="29" t="str">
        <x:f>IF(I221="Done",IF(N221="","MISSING EVIDENCE","Review evidence"),"Pending")</x:f>
        <x:v>Pending</x:v>
      </x:c>
      <x:c r="U221" s="29" t="str">
        <x:f>IF(AND(Q221&lt;&gt;"",Q221&lt;TODAY(),I221&lt;&gt;"Done"),"OVERDUE","")</x:f>
      </x:c>
    </x:row>
    <x:row r="222" ht="74" customHeight="1">
      <x:c r="A222" s="29" t="str">
        <x:v>BIL-007</x:v>
      </x:c>
      <x:c r="B222" s="29" t="str">
        <x:v>Billing and outcome analytics</x:v>
      </x:c>
      <x:c r="C222" s="29" t="str">
        <x:v>Operational analytics</x:v>
      </x:c>
      <x:c r="D222" s="29" t="str">
        <x:v>G1</x:v>
      </x:c>
      <x:c r="E222" s="29" t="str">
        <x:v>P0</x:v>
      </x:c>
      <x:c r="F222" s="29" t="str">
        <x:v>FinanceData</x:v>
      </x:c>
      <x:c r="G222" s="39"/>
      <x:c r="H222" s="29" t="str">
        <x:v>DAT-001, EVT-002</x:v>
      </x:c>
      <x:c r="I222" s="39" t="str">
        <x:v>Not started</x:v>
      </x:c>
      <x:c r="J222" s="33" t="n">
        <x:f>IF(AND(I222="Done",N222&lt;&gt;""),1,0)</x:f>
        <x:v>0</x:v>
      </x:c>
      <x:c r="K222" s="29" t="str">
        <x:v>Message/workflow/AI/webhook latency, failure and cost metrics drill into traces.</x:v>
      </x:c>
      <x:c r="L222" s="29" t="str">
        <x:v>services/core/billing/; services/analytics/ (proposed)</x:v>
      </x:c>
      <x:c r="M222" s="29" t="str">
        <x:v>AT-BIL-007</x:v>
      </x:c>
      <x:c r="N222" s="39"/>
      <x:c r="O222" s="41"/>
      <x:c r="P222" s="43"/>
      <x:c r="Q222" s="43"/>
      <x:c r="R222" s="29" t="str">
        <x:v>S05</x:v>
      </x:c>
      <x:c r="S222" s="39" t="str">
        <x:v>Proposed target paths; no repository implementation inspected. Completion requires linked evidence.</x:v>
      </x:c>
      <x:c r="T222" s="29" t="str">
        <x:f>IF(I222="Done",IF(N222="","MISSING EVIDENCE","Review evidence"),"Pending")</x:f>
        <x:v>Pending</x:v>
      </x:c>
      <x:c r="U222" s="29" t="str">
        <x:f>IF(AND(Q222&lt;&gt;"",Q222&lt;TODAY(),I222&lt;&gt;"Done"),"OVERDUE","")</x:f>
      </x:c>
    </x:row>
    <x:row r="223" ht="74" customHeight="1">
      <x:c r="A223" s="29" t="str">
        <x:v>BIL-008</x:v>
      </x:c>
      <x:c r="B223" s="29" t="str">
        <x:v>Billing and outcome analytics</x:v>
      </x:c>
      <x:c r="C223" s="29" t="str">
        <x:v>Cost guardrails and unit economics</x:v>
      </x:c>
      <x:c r="D223" s="29" t="str">
        <x:v>G1</x:v>
      </x:c>
      <x:c r="E223" s="29" t="str">
        <x:v>P0</x:v>
      </x:c>
      <x:c r="F223" s="29" t="str">
        <x:v>FinanceData</x:v>
      </x:c>
      <x:c r="G223" s="39"/>
      <x:c r="H223" s="29" t="str">
        <x:v>DAT-001, EVT-002</x:v>
      </x:c>
      <x:c r="I223" s="39" t="str">
        <x:v>Not started</x:v>
      </x:c>
      <x:c r="J223" s="33" t="n">
        <x:f>IF(AND(I223="Done",N223&lt;&gt;""),1,0)</x:f>
        <x:v>0</x:v>
      </x:c>
      <x:c r="K223" s="29" t="str">
        <x:v>Tenant budgets and infrastructure cost model include media, AI, replication, egress and support.</x:v>
      </x:c>
      <x:c r="L223" s="29" t="str">
        <x:v>services/core/billing/; services/analytics/ (proposed)</x:v>
      </x:c>
      <x:c r="M223" s="29" t="str">
        <x:v>AT-BIL-008</x:v>
      </x:c>
      <x:c r="N223" s="39"/>
      <x:c r="O223" s="41"/>
      <x:c r="P223" s="43"/>
      <x:c r="Q223" s="43"/>
      <x:c r="R223" s="29" t="str">
        <x:v>S05</x:v>
      </x:c>
      <x:c r="S223" s="39" t="str">
        <x:v>Proposed target paths; no repository implementation inspected. Completion requires linked evidence.</x:v>
      </x:c>
      <x:c r="T223" s="29" t="str">
        <x:f>IF(I223="Done",IF(N223="","MISSING EVIDENCE","Review evidence"),"Pending")</x:f>
        <x:v>Pending</x:v>
      </x:c>
      <x:c r="U223" s="29" t="str">
        <x:f>IF(AND(Q223&lt;&gt;"",Q223&lt;TODAY(),I223&lt;&gt;"Done"),"OVERDUE","")</x:f>
      </x:c>
    </x:row>
    <x:row r="224" ht="74" customHeight="1">
      <x:c r="A224" s="29" t="str">
        <x:v>SEC-001</x:v>
      </x:c>
      <x:c r="B224" s="29" t="str">
        <x:v>Security and privacy</x:v>
      </x:c>
      <x:c r="C224" s="29" t="str">
        <x:v>Zero-trust service authentication</x:v>
      </x:c>
      <x:c r="D224" s="29" t="str">
        <x:v>G0</x:v>
      </x:c>
      <x:c r="E224" s="29" t="str">
        <x:v>P0</x:v>
      </x:c>
      <x:c r="F224" s="29" t="str">
        <x:v>Security</x:v>
      </x:c>
      <x:c r="G224" s="39"/>
      <x:c r="H224" s="29" t="str">
        <x:v>GOV-004</x:v>
      </x:c>
      <x:c r="I224" s="39" t="str">
        <x:v>Not started</x:v>
      </x:c>
      <x:c r="J224" s="33" t="n">
        <x:f>IF(AND(I224="Done",N224&lt;&gt;""),1,0)</x:f>
        <x:v>0</x:v>
      </x:c>
      <x:c r="K224" s="29" t="str">
        <x:v>Workload identity and mTLS bind service/tenant authority; no shared super-token.</x:v>
      </x:c>
      <x:c r="L224" s="29" t="str">
        <x:v>packages/policy/; docs/compliance/ (proposed)</x:v>
      </x:c>
      <x:c r="M224" s="29" t="str">
        <x:v>AT-SEC-001</x:v>
      </x:c>
      <x:c r="N224" s="39"/>
      <x:c r="O224" s="41"/>
      <x:c r="P224" s="43"/>
      <x:c r="Q224" s="43"/>
      <x:c r="R224" s="29" t="str">
        <x:v>S03-S04,S30-S32</x:v>
      </x:c>
      <x:c r="S224" s="39" t="str">
        <x:v>Proposed target paths; no repository implementation inspected. Completion requires linked evidence.</x:v>
      </x:c>
      <x:c r="T224" s="29" t="str">
        <x:f>IF(I224="Done",IF(N224="","MISSING EVIDENCE","Review evidence"),"Pending")</x:f>
        <x:v>Pending</x:v>
      </x:c>
      <x:c r="U224" s="29" t="str">
        <x:f>IF(AND(Q224&lt;&gt;"",Q224&lt;TODAY(),I224&lt;&gt;"Done"),"OVERDUE","")</x:f>
      </x:c>
    </x:row>
    <x:row r="225" ht="74" customHeight="1">
      <x:c r="A225" s="29" t="str">
        <x:v>SEC-002</x:v>
      </x:c>
      <x:c r="B225" s="29" t="str">
        <x:v>Security and privacy</x:v>
      </x:c>
      <x:c r="C225" s="29" t="str">
        <x:v>Encryption and key lifecycle</x:v>
      </x:c>
      <x:c r="D225" s="29" t="str">
        <x:v>G0</x:v>
      </x:c>
      <x:c r="E225" s="29" t="str">
        <x:v>P0</x:v>
      </x:c>
      <x:c r="F225" s="29" t="str">
        <x:v>Security</x:v>
      </x:c>
      <x:c r="G225" s="39"/>
      <x:c r="H225" s="29" t="str">
        <x:v>GOV-004</x:v>
      </x:c>
      <x:c r="I225" s="39" t="str">
        <x:v>Not started</x:v>
      </x:c>
      <x:c r="J225" s="33" t="n">
        <x:f>IF(AND(I225="Done",N225&lt;&gt;""),1,0)</x:f>
        <x:v>0</x:v>
      </x:c>
      <x:c r="K225" s="29" t="str">
        <x:v>Envelope encryption, key rotation/revocation and recovery procedures are exercised.</x:v>
      </x:c>
      <x:c r="L225" s="29" t="str">
        <x:v>packages/policy/; docs/compliance/ (proposed)</x:v>
      </x:c>
      <x:c r="M225" s="29" t="str">
        <x:v>AT-SEC-002</x:v>
      </x:c>
      <x:c r="N225" s="39"/>
      <x:c r="O225" s="41"/>
      <x:c r="P225" s="43"/>
      <x:c r="Q225" s="43"/>
      <x:c r="R225" s="29" t="str">
        <x:v>S03-S04,S30-S32</x:v>
      </x:c>
      <x:c r="S225" s="39" t="str">
        <x:v>Proposed target paths; no repository implementation inspected. Completion requires linked evidence.</x:v>
      </x:c>
      <x:c r="T225" s="29" t="str">
        <x:f>IF(I225="Done",IF(N225="","MISSING EVIDENCE","Review evidence"),"Pending")</x:f>
        <x:v>Pending</x:v>
      </x:c>
      <x:c r="U225" s="29" t="str">
        <x:f>IF(AND(Q225&lt;&gt;"",Q225&lt;TODAY(),I225&lt;&gt;"Done"),"OVERDUE","")</x:f>
      </x:c>
    </x:row>
    <x:row r="226" ht="74" customHeight="1">
      <x:c r="A226" s="29" t="str">
        <x:v>SEC-003</x:v>
      </x:c>
      <x:c r="B226" s="29" t="str">
        <x:v>Security and privacy</x:v>
      </x:c>
      <x:c r="C226" s="29" t="str">
        <x:v>Application security verification</x:v>
      </x:c>
      <x:c r="D226" s="29" t="str">
        <x:v>G0</x:v>
      </x:c>
      <x:c r="E226" s="29" t="str">
        <x:v>P0</x:v>
      </x:c>
      <x:c r="F226" s="29" t="str">
        <x:v>Security</x:v>
      </x:c>
      <x:c r="G226" s="39"/>
      <x:c r="H226" s="29" t="str">
        <x:v>GOV-004</x:v>
      </x:c>
      <x:c r="I226" s="39" t="str">
        <x:v>Not started</x:v>
      </x:c>
      <x:c r="J226" s="33" t="n">
        <x:f>IF(AND(I226="Done",N226&lt;&gt;""),1,0)</x:f>
        <x:v>0</x:v>
      </x:c>
      <x:c r="K226" s="29" t="str">
        <x:v>ASVS baseline checks, threat tests and independent penetration findings are resolved.</x:v>
      </x:c>
      <x:c r="L226" s="29" t="str">
        <x:v>packages/policy/; docs/compliance/ (proposed)</x:v>
      </x:c>
      <x:c r="M226" s="29" t="str">
        <x:v>AT-SEC-003</x:v>
      </x:c>
      <x:c r="N226" s="39"/>
      <x:c r="O226" s="41"/>
      <x:c r="P226" s="43"/>
      <x:c r="Q226" s="43"/>
      <x:c r="R226" s="29" t="str">
        <x:v>S03-S04,S30-S32</x:v>
      </x:c>
      <x:c r="S226" s="39" t="str">
        <x:v>Proposed target paths; no repository implementation inspected. Completion requires linked evidence.</x:v>
      </x:c>
      <x:c r="T226" s="29" t="str">
        <x:f>IF(I226="Done",IF(N226="","MISSING EVIDENCE","Review evidence"),"Pending")</x:f>
        <x:v>Pending</x:v>
      </x:c>
      <x:c r="U226" s="29" t="str">
        <x:f>IF(AND(Q226&lt;&gt;"",Q226&lt;TODAY(),I226&lt;&gt;"Done"),"OVERDUE","")</x:f>
      </x:c>
    </x:row>
    <x:row r="227" ht="74" customHeight="1">
      <x:c r="A227" s="29" t="str">
        <x:v>SEC-004</x:v>
      </x:c>
      <x:c r="B227" s="29" t="str">
        <x:v>Security and privacy</x:v>
      </x:c>
      <x:c r="C227" s="29" t="str">
        <x:v>Enterprise SSO and SCIM</x:v>
      </x:c>
      <x:c r="D227" s="29" t="str">
        <x:v>G3</x:v>
      </x:c>
      <x:c r="E227" s="29" t="str">
        <x:v>P1</x:v>
      </x:c>
      <x:c r="F227" s="29" t="str">
        <x:v>Security</x:v>
      </x:c>
      <x:c r="G227" s="39"/>
      <x:c r="H227" s="29" t="str">
        <x:v>GOV-004</x:v>
      </x:c>
      <x:c r="I227" s="39" t="str">
        <x:v>Not started</x:v>
      </x:c>
      <x:c r="J227" s="33" t="n">
        <x:f>IF(AND(I227="Done",N227&lt;&gt;""),1,0)</x:f>
        <x:v>0</x:v>
      </x:c>
      <x:c r="K227" s="29" t="str">
        <x:v>Federation and lifecycle deprovisioning revoke sessions and API privileges.</x:v>
      </x:c>
      <x:c r="L227" s="29" t="str">
        <x:v>packages/policy/; docs/compliance/ (proposed)</x:v>
      </x:c>
      <x:c r="M227" s="29" t="str">
        <x:v>AT-SEC-004</x:v>
      </x:c>
      <x:c r="N227" s="39"/>
      <x:c r="O227" s="41"/>
      <x:c r="P227" s="43"/>
      <x:c r="Q227" s="43"/>
      <x:c r="R227" s="29" t="str">
        <x:v>S03-S04,S30-S32</x:v>
      </x:c>
      <x:c r="S227" s="39" t="str">
        <x:v>Proposed target paths; no repository implementation inspected. Completion requires linked evidence.</x:v>
      </x:c>
      <x:c r="T227" s="29" t="str">
        <x:f>IF(I227="Done",IF(N227="","MISSING EVIDENCE","Review evidence"),"Pending")</x:f>
        <x:v>Pending</x:v>
      </x:c>
      <x:c r="U227" s="29" t="str">
        <x:f>IF(AND(Q227&lt;&gt;"",Q227&lt;TODAY(),I227&lt;&gt;"Done"),"OVERDUE","")</x:f>
      </x:c>
    </x:row>
    <x:row r="228" ht="74" customHeight="1">
      <x:c r="A228" s="29" t="str">
        <x:v>SEC-005</x:v>
      </x:c>
      <x:c r="B228" s="29" t="str">
        <x:v>Security and privacy</x:v>
      </x:c>
      <x:c r="C228" s="29" t="str">
        <x:v>Audit and tamper evidence</x:v>
      </x:c>
      <x:c r="D228" s="29" t="str">
        <x:v>G0</x:v>
      </x:c>
      <x:c r="E228" s="29" t="str">
        <x:v>P0</x:v>
      </x:c>
      <x:c r="F228" s="29" t="str">
        <x:v>Security</x:v>
      </x:c>
      <x:c r="G228" s="39"/>
      <x:c r="H228" s="29" t="str">
        <x:v>GOV-004</x:v>
      </x:c>
      <x:c r="I228" s="39" t="str">
        <x:v>Not started</x:v>
      </x:c>
      <x:c r="J228" s="33" t="n">
        <x:f>IF(AND(I228="Done",N228&lt;&gt;""),1,0)</x:f>
        <x:v>0</x:v>
      </x:c>
      <x:c r="K228" s="29" t="str">
        <x:v>Critical configuration/actions have integrity-checked records and controlled export.</x:v>
      </x:c>
      <x:c r="L228" s="29" t="str">
        <x:v>packages/policy/; docs/compliance/ (proposed)</x:v>
      </x:c>
      <x:c r="M228" s="29" t="str">
        <x:v>AT-SEC-005</x:v>
      </x:c>
      <x:c r="N228" s="39"/>
      <x:c r="O228" s="41"/>
      <x:c r="P228" s="43"/>
      <x:c r="Q228" s="43"/>
      <x:c r="R228" s="29" t="str">
        <x:v>S03-S04,S30-S32</x:v>
      </x:c>
      <x:c r="S228" s="39" t="str">
        <x:v>Proposed target paths; no repository implementation inspected. Completion requires linked evidence.</x:v>
      </x:c>
      <x:c r="T228" s="29" t="str">
        <x:f>IF(I228="Done",IF(N228="","MISSING EVIDENCE","Review evidence"),"Pending")</x:f>
        <x:v>Pending</x:v>
      </x:c>
      <x:c r="U228" s="29" t="str">
        <x:f>IF(AND(Q228&lt;&gt;"",Q228&lt;TODAY(),I228&lt;&gt;"Done"),"OVERDUE","")</x:f>
      </x:c>
    </x:row>
    <x:row r="229" ht="74" customHeight="1">
      <x:c r="A229" s="29" t="str">
        <x:v>SEC-006</x:v>
      </x:c>
      <x:c r="B229" s="29" t="str">
        <x:v>Security and privacy</x:v>
      </x:c>
      <x:c r="C229" s="29" t="str">
        <x:v>Data-subject export and deletion</x:v>
      </x:c>
      <x:c r="D229" s="29" t="str">
        <x:v>G0</x:v>
      </x:c>
      <x:c r="E229" s="29" t="str">
        <x:v>P0</x:v>
      </x:c>
      <x:c r="F229" s="29" t="str">
        <x:v>Security</x:v>
      </x:c>
      <x:c r="G229" s="39"/>
      <x:c r="H229" s="29" t="str">
        <x:v>GOV-004</x:v>
      </x:c>
      <x:c r="I229" s="39" t="str">
        <x:v>Not started</x:v>
      </x:c>
      <x:c r="J229" s="33" t="n">
        <x:f>IF(AND(I229="Done",N229&lt;&gt;""),1,0)</x:f>
        <x:v>0</x:v>
      </x:c>
      <x:c r="K229" s="29" t="str">
        <x:v>Deletion covers databases, indexes, object data, AI caches and restore suppression.</x:v>
      </x:c>
      <x:c r="L229" s="29" t="str">
        <x:v>packages/policy/; docs/compliance/ (proposed)</x:v>
      </x:c>
      <x:c r="M229" s="29" t="str">
        <x:v>AT-SEC-006</x:v>
      </x:c>
      <x:c r="N229" s="39"/>
      <x:c r="O229" s="41"/>
      <x:c r="P229" s="43"/>
      <x:c r="Q229" s="43"/>
      <x:c r="R229" s="29" t="str">
        <x:v>S03-S04,S30-S32</x:v>
      </x:c>
      <x:c r="S229" s="39" t="str">
        <x:v>Proposed target paths; no repository implementation inspected. Completion requires linked evidence.</x:v>
      </x:c>
      <x:c r="T229" s="29" t="str">
        <x:f>IF(I229="Done",IF(N229="","MISSING EVIDENCE","Review evidence"),"Pending")</x:f>
        <x:v>Pending</x:v>
      </x:c>
      <x:c r="U229" s="29" t="str">
        <x:f>IF(AND(Q229&lt;&gt;"",Q229&lt;TODAY(),I229&lt;&gt;"Done"),"OVERDUE","")</x:f>
      </x:c>
    </x:row>
    <x:row r="230" ht="74" customHeight="1">
      <x:c r="A230" s="29" t="str">
        <x:v>SEC-007</x:v>
      </x:c>
      <x:c r="B230" s="29" t="str">
        <x:v>Security and privacy</x:v>
      </x:c>
      <x:c r="C230" s="29" t="str">
        <x:v>Provider-data use restrictions</x:v>
      </x:c>
      <x:c r="D230" s="29" t="str">
        <x:v>G0</x:v>
      </x:c>
      <x:c r="E230" s="29" t="str">
        <x:v>P0</x:v>
      </x:c>
      <x:c r="F230" s="29" t="str">
        <x:v>Security</x:v>
      </x:c>
      <x:c r="G230" s="39"/>
      <x:c r="H230" s="29" t="str">
        <x:v>GOV-004</x:v>
      </x:c>
      <x:c r="I230" s="39" t="str">
        <x:v>Not started</x:v>
      </x:c>
      <x:c r="J230" s="33" t="n">
        <x:f>IF(AND(I230="Done",N230&lt;&gt;""),1,0)</x:f>
        <x:v>0</x:v>
      </x:c>
      <x:c r="K230" s="29" t="str">
        <x:v>Tenant contracts and technical controls enforce approved processing and no pooled AI training.</x:v>
      </x:c>
      <x:c r="L230" s="29" t="str">
        <x:v>packages/policy/; docs/compliance/ (proposed)</x:v>
      </x:c>
      <x:c r="M230" s="29" t="str">
        <x:v>AT-SEC-007</x:v>
      </x:c>
      <x:c r="N230" s="39"/>
      <x:c r="O230" s="41"/>
      <x:c r="P230" s="43"/>
      <x:c r="Q230" s="43"/>
      <x:c r="R230" s="29" t="str">
        <x:v>S03-S04,S30-S32</x:v>
      </x:c>
      <x:c r="S230" s="39" t="str">
        <x:v>Proposed target paths; no repository implementation inspected. Completion requires linked evidence.</x:v>
      </x:c>
      <x:c r="T230" s="29" t="str">
        <x:f>IF(I230="Done",IF(N230="","MISSING EVIDENCE","Review evidence"),"Pending")</x:f>
        <x:v>Pending</x:v>
      </x:c>
      <x:c r="U230" s="29" t="str">
        <x:f>IF(AND(Q230&lt;&gt;"",Q230&lt;TODAY(),I230&lt;&gt;"Done"),"OVERDUE","")</x:f>
      </x:c>
    </x:row>
    <x:row r="231" ht="74" customHeight="1">
      <x:c r="A231" s="29" t="str">
        <x:v>SEC-008</x:v>
      </x:c>
      <x:c r="B231" s="29" t="str">
        <x:v>Security and privacy</x:v>
      </x:c>
      <x:c r="C231" s="29" t="str">
        <x:v>Abuse detection and tenant review</x:v>
      </x:c>
      <x:c r="D231" s="29" t="str">
        <x:v>G0</x:v>
      </x:c>
      <x:c r="E231" s="29" t="str">
        <x:v>P0</x:v>
      </x:c>
      <x:c r="F231" s="29" t="str">
        <x:v>Security</x:v>
      </x:c>
      <x:c r="G231" s="39"/>
      <x:c r="H231" s="29" t="str">
        <x:v>GOV-004</x:v>
      </x:c>
      <x:c r="I231" s="39" t="str">
        <x:v>Not started</x:v>
      </x:c>
      <x:c r="J231" s="33" t="n">
        <x:f>IF(AND(I231="Done",N231&lt;&gt;""),1,0)</x:f>
        <x:v>0</x:v>
      </x:c>
      <x:c r="K231" s="29" t="str">
        <x:v>Spam, phishing, credential misuse and restricted-business checks can suspend sending.</x:v>
      </x:c>
      <x:c r="L231" s="29" t="str">
        <x:v>packages/policy/; docs/compliance/ (proposed)</x:v>
      </x:c>
      <x:c r="M231" s="29" t="str">
        <x:v>AT-SEC-008</x:v>
      </x:c>
      <x:c r="N231" s="39"/>
      <x:c r="O231" s="41"/>
      <x:c r="P231" s="43"/>
      <x:c r="Q231" s="43"/>
      <x:c r="R231" s="29" t="str">
        <x:v>S03-S04,S30-S32</x:v>
      </x:c>
      <x:c r="S231" s="39" t="str">
        <x:v>Proposed target paths; no repository implementation inspected. Completion requires linked evidence.</x:v>
      </x:c>
      <x:c r="T231" s="29" t="str">
        <x:f>IF(I231="Done",IF(N231="","MISSING EVIDENCE","Review evidence"),"Pending")</x:f>
        <x:v>Pending</x:v>
      </x:c>
      <x:c r="U231" s="29" t="str">
        <x:f>IF(AND(Q231&lt;&gt;"",Q231&lt;TODAY(),I231&lt;&gt;"Done"),"OVERDUE","")</x:f>
      </x:c>
    </x:row>
    <x:row r="232" ht="74" customHeight="1">
      <x:c r="A232" s="29" t="str">
        <x:v>SEC-009</x:v>
      </x:c>
      <x:c r="B232" s="29" t="str">
        <x:v>Security and privacy</x:v>
      </x:c>
      <x:c r="C232" s="29" t="str">
        <x:v>Outbound SSRF and sandbox security</x:v>
      </x:c>
      <x:c r="D232" s="29" t="str">
        <x:v>G0</x:v>
      </x:c>
      <x:c r="E232" s="29" t="str">
        <x:v>P0</x:v>
      </x:c>
      <x:c r="F232" s="29" t="str">
        <x:v>Security</x:v>
      </x:c>
      <x:c r="G232" s="39"/>
      <x:c r="H232" s="29" t="str">
        <x:v>GOV-004</x:v>
      </x:c>
      <x:c r="I232" s="39" t="str">
        <x:v>Not started</x:v>
      </x:c>
      <x:c r="J232" s="33" t="n">
        <x:f>IF(AND(I232="Done",N232&lt;&gt;""),1,0)</x:f>
        <x:v>0</x:v>
      </x:c>
      <x:c r="K232" s="29" t="str">
        <x:v>HTTP nodes, URLs, parsers and connectors pass private-network and container-escape tests.</x:v>
      </x:c>
      <x:c r="L232" s="29" t="str">
        <x:v>packages/policy/; docs/compliance/ (proposed)</x:v>
      </x:c>
      <x:c r="M232" s="29" t="str">
        <x:v>AT-SEC-009</x:v>
      </x:c>
      <x:c r="N232" s="39"/>
      <x:c r="O232" s="41"/>
      <x:c r="P232" s="43"/>
      <x:c r="Q232" s="43"/>
      <x:c r="R232" s="29" t="str">
        <x:v>S03-S04,S30-S32</x:v>
      </x:c>
      <x:c r="S232" s="39" t="str">
        <x:v>Proposed target paths; no repository implementation inspected. Completion requires linked evidence.</x:v>
      </x:c>
      <x:c r="T232" s="29" t="str">
        <x:f>IF(I232="Done",IF(N232="","MISSING EVIDENCE","Review evidence"),"Pending")</x:f>
        <x:v>Pending</x:v>
      </x:c>
      <x:c r="U232" s="29" t="str">
        <x:f>IF(AND(Q232&lt;&gt;"",Q232&lt;TODAY(),I232&lt;&gt;"Done"),"OVERDUE","")</x:f>
      </x:c>
    </x:row>
    <x:row r="233" ht="74" customHeight="1">
      <x:c r="A233" s="29" t="str">
        <x:v>SEC-010</x:v>
      </x:c>
      <x:c r="B233" s="29" t="str">
        <x:v>Security and privacy</x:v>
      </x:c>
      <x:c r="C233" s="29" t="str">
        <x:v>Residency and subprocessors</x:v>
      </x:c>
      <x:c r="D233" s="29" t="str">
        <x:v>G0</x:v>
      </x:c>
      <x:c r="E233" s="29" t="str">
        <x:v>P0</x:v>
      </x:c>
      <x:c r="F233" s="29" t="str">
        <x:v>Security</x:v>
      </x:c>
      <x:c r="G233" s="39"/>
      <x:c r="H233" s="29" t="str">
        <x:v>GOV-004</x:v>
      </x:c>
      <x:c r="I233" s="39" t="str">
        <x:v>Not started</x:v>
      </x:c>
      <x:c r="J233" s="33" t="n">
        <x:f>IF(AND(I233="Done",N233&lt;&gt;""),1,0)</x:f>
        <x:v>0</x:v>
      </x:c>
      <x:c r="K233" s="29" t="str">
        <x:v>Documented region, subprocessors and allowed transfer paths match actual telemetry.</x:v>
      </x:c>
      <x:c r="L233" s="29" t="str">
        <x:v>packages/policy/; docs/compliance/ (proposed)</x:v>
      </x:c>
      <x:c r="M233" s="29" t="str">
        <x:v>AT-SEC-010</x:v>
      </x:c>
      <x:c r="N233" s="39"/>
      <x:c r="O233" s="41"/>
      <x:c r="P233" s="43"/>
      <x:c r="Q233" s="43"/>
      <x:c r="R233" s="29" t="str">
        <x:v>S03-S04,S30-S32</x:v>
      </x:c>
      <x:c r="S233" s="39" t="str">
        <x:v>Proposed target paths; no repository implementation inspected. Completion requires linked evidence.</x:v>
      </x:c>
      <x:c r="T233" s="29" t="str">
        <x:f>IF(I233="Done",IF(N233="","MISSING EVIDENCE","Review evidence"),"Pending")</x:f>
        <x:v>Pending</x:v>
      </x:c>
      <x:c r="U233" s="29" t="str">
        <x:f>IF(AND(Q233&lt;&gt;"",Q233&lt;TODAY(),I233&lt;&gt;"Done"),"OVERDUE","")</x:f>
      </x:c>
    </x:row>
    <x:row r="234" ht="74" customHeight="1">
      <x:c r="A234" s="29" t="str">
        <x:v>SEC-011</x:v>
      </x:c>
      <x:c r="B234" s="29" t="str">
        <x:v>Security and privacy</x:v>
      </x:c>
      <x:c r="C234" s="29" t="str">
        <x:v>Incident response and evidence retention</x:v>
      </x:c>
      <x:c r="D234" s="29" t="str">
        <x:v>G0</x:v>
      </x:c>
      <x:c r="E234" s="29" t="str">
        <x:v>P0</x:v>
      </x:c>
      <x:c r="F234" s="29" t="str">
        <x:v>Security</x:v>
      </x:c>
      <x:c r="G234" s="39"/>
      <x:c r="H234" s="29" t="str">
        <x:v>GOV-004</x:v>
      </x:c>
      <x:c r="I234" s="39" t="str">
        <x:v>Not started</x:v>
      </x:c>
      <x:c r="J234" s="33" t="n">
        <x:f>IF(AND(I234="Done",N234&lt;&gt;""),1,0)</x:f>
        <x:v>0</x:v>
      </x:c>
      <x:c r="K234" s="29" t="str">
        <x:v>Breach response, provider notification and preservation workflows are practiced.</x:v>
      </x:c>
      <x:c r="L234" s="29" t="str">
        <x:v>packages/policy/; docs/compliance/ (proposed)</x:v>
      </x:c>
      <x:c r="M234" s="29" t="str">
        <x:v>AT-SEC-011</x:v>
      </x:c>
      <x:c r="N234" s="39"/>
      <x:c r="O234" s="41"/>
      <x:c r="P234" s="43"/>
      <x:c r="Q234" s="43"/>
      <x:c r="R234" s="29" t="str">
        <x:v>S03-S04,S30-S32</x:v>
      </x:c>
      <x:c r="S234" s="39" t="str">
        <x:v>Proposed target paths; no repository implementation inspected. Completion requires linked evidence.</x:v>
      </x:c>
      <x:c r="T234" s="29" t="str">
        <x:f>IF(I234="Done",IF(N234="","MISSING EVIDENCE","Review evidence"),"Pending")</x:f>
        <x:v>Pending</x:v>
      </x:c>
      <x:c r="U234" s="29" t="str">
        <x:f>IF(AND(Q234&lt;&gt;"",Q234&lt;TODAY(),I234&lt;&gt;"Done"),"OVERDUE","")</x:f>
      </x:c>
    </x:row>
    <x:row r="235" ht="74" customHeight="1">
      <x:c r="A235" s="29" t="str">
        <x:v>SEC-012</x:v>
      </x:c>
      <x:c r="B235" s="29" t="str">
        <x:v>Security and privacy</x:v>
      </x:c>
      <x:c r="C235" s="29" t="str">
        <x:v>Privacy/legal applicability gate</x:v>
      </x:c>
      <x:c r="D235" s="29" t="str">
        <x:v>G0</x:v>
      </x:c>
      <x:c r="E235" s="29" t="str">
        <x:v>P0</x:v>
      </x:c>
      <x:c r="F235" s="29" t="str">
        <x:v>Security</x:v>
      </x:c>
      <x:c r="G235" s="39"/>
      <x:c r="H235" s="29" t="str">
        <x:v>GOV-004</x:v>
      </x:c>
      <x:c r="I235" s="39" t="str">
        <x:v>Not started</x:v>
      </x:c>
      <x:c r="J235" s="33" t="n">
        <x:f>IF(AND(I235="Done",N235&lt;&gt;""),1,0)</x:f>
        <x:v>0</x:v>
      </x:c>
      <x:c r="K235" s="29" t="str">
        <x:v>Applicable DPDP/GDPR, recording, taxes and sector requirements are reviewed by qualified owners.</x:v>
      </x:c>
      <x:c r="L235" s="29" t="str">
        <x:v>packages/policy/; docs/compliance/ (proposed)</x:v>
      </x:c>
      <x:c r="M235" s="29" t="str">
        <x:v>AT-SEC-012</x:v>
      </x:c>
      <x:c r="N235" s="39"/>
      <x:c r="O235" s="41"/>
      <x:c r="P235" s="43"/>
      <x:c r="Q235" s="43"/>
      <x:c r="R235" s="29" t="str">
        <x:v>S03-S04,S30-S32</x:v>
      </x:c>
      <x:c r="S235" s="39" t="str">
        <x:v>Proposed target paths; no repository implementation inspected. Completion requires linked evidence.</x:v>
      </x:c>
      <x:c r="T235" s="29" t="str">
        <x:f>IF(I235="Done",IF(N235="","MISSING EVIDENCE","Review evidence"),"Pending")</x:f>
        <x:v>Pending</x:v>
      </x:c>
      <x:c r="U235" s="29" t="str">
        <x:f>IF(AND(Q235&lt;&gt;"",Q235&lt;TODAY(),I235&lt;&gt;"Done"),"OVERDUE","")</x:f>
      </x:c>
    </x:row>
    <x:row r="236" ht="74" customHeight="1">
      <x:c r="A236" s="29" t="str">
        <x:v>OPS-001</x:v>
      </x:c>
      <x:c r="B236" s="29" t="str">
        <x:v>Platform operations and scale</x:v>
      </x:c>
      <x:c r="C236" s="29" t="str">
        <x:v>Infrastructure as code</x:v>
      </x:c>
      <x:c r="D236" s="29" t="str">
        <x:v>G0</x:v>
      </x:c>
      <x:c r="E236" s="29" t="str">
        <x:v>P0</x:v>
      </x:c>
      <x:c r="F236" s="29" t="str">
        <x:v>SRE</x:v>
      </x:c>
      <x:c r="G236" s="39"/>
      <x:c r="H236" s="29" t="str">
        <x:v>GOV-007</x:v>
      </x:c>
      <x:c r="I236" s="39" t="str">
        <x:v>Not started</x:v>
      </x:c>
      <x:c r="J236" s="33" t="n">
        <x:f>IF(AND(I236="Done",N236&lt;&gt;""),1,0)</x:f>
        <x:v>0</x:v>
      </x:c>
      <x:c r="K236" s="29" t="str">
        <x:v>A cell is provisioned from reviewed Terraform modules with no manual production drift.</x:v>
      </x:c>
      <x:c r="L236" s="29" t="str">
        <x:v>infra/; docs/runbooks/ (proposed)</x:v>
      </x:c>
      <x:c r="M236" s="29" t="str">
        <x:v>AT-OPS-001</x:v>
      </x:c>
      <x:c r="N236" s="39"/>
      <x:c r="O236" s="41"/>
      <x:c r="P236" s="43"/>
      <x:c r="Q236" s="43"/>
      <x:c r="R236" s="29" t="str">
        <x:v>S15-S18,S32-S33</x:v>
      </x:c>
      <x:c r="S236" s="39" t="str">
        <x:v>Proposed target paths; no repository implementation inspected. Completion requires linked evidence.</x:v>
      </x:c>
      <x:c r="T236" s="29" t="str">
        <x:f>IF(I236="Done",IF(N236="","MISSING EVIDENCE","Review evidence"),"Pending")</x:f>
        <x:v>Pending</x:v>
      </x:c>
      <x:c r="U236" s="29" t="str">
        <x:f>IF(AND(Q236&lt;&gt;"",Q236&lt;TODAY(),I236&lt;&gt;"Done"),"OVERDUE","")</x:f>
      </x:c>
    </x:row>
    <x:row r="237" ht="74" customHeight="1">
      <x:c r="A237" s="29" t="str">
        <x:v>OPS-002</x:v>
      </x:c>
      <x:c r="B237" s="29" t="str">
        <x:v>Platform operations and scale</x:v>
      </x:c>
      <x:c r="C237" s="29" t="str">
        <x:v>Kubernetes workload isolation</x:v>
      </x:c>
      <x:c r="D237" s="29" t="str">
        <x:v>G0</x:v>
      </x:c>
      <x:c r="E237" s="29" t="str">
        <x:v>P0</x:v>
      </x:c>
      <x:c r="F237" s="29" t="str">
        <x:v>SRE</x:v>
      </x:c>
      <x:c r="G237" s="39"/>
      <x:c r="H237" s="29" t="str">
        <x:v>GOV-007</x:v>
      </x:c>
      <x:c r="I237" s="39" t="str">
        <x:v>Not started</x:v>
      </x:c>
      <x:c r="J237" s="33" t="n">
        <x:f>IF(AND(I237="Done",N237&lt;&gt;""),1,0)</x:f>
        <x:v>0</x:v>
      </x:c>
      <x:c r="K237" s="29" t="str">
        <x:v>Network policy, restricted pods, resource limits, AZ spread and disruption budgets are enforced.</x:v>
      </x:c>
      <x:c r="L237" s="29" t="str">
        <x:v>infra/; docs/runbooks/ (proposed)</x:v>
      </x:c>
      <x:c r="M237" s="29" t="str">
        <x:v>AT-OPS-002</x:v>
      </x:c>
      <x:c r="N237" s="39"/>
      <x:c r="O237" s="41"/>
      <x:c r="P237" s="43"/>
      <x:c r="Q237" s="43"/>
      <x:c r="R237" s="29" t="str">
        <x:v>S15-S18,S32-S33</x:v>
      </x:c>
      <x:c r="S237" s="39" t="str">
        <x:v>Proposed target paths; no repository implementation inspected. Completion requires linked evidence.</x:v>
      </x:c>
      <x:c r="T237" s="29" t="str">
        <x:f>IF(I237="Done",IF(N237="","MISSING EVIDENCE","Review evidence"),"Pending")</x:f>
        <x:v>Pending</x:v>
      </x:c>
      <x:c r="U237" s="29" t="str">
        <x:f>IF(AND(Q237&lt;&gt;"",Q237&lt;TODAY(),I237&lt;&gt;"Done"),"OVERDUE","")</x:f>
      </x:c>
    </x:row>
    <x:row r="238" ht="74" customHeight="1">
      <x:c r="A238" s="29" t="str">
        <x:v>OPS-003</x:v>
      </x:c>
      <x:c r="B238" s="29" t="str">
        <x:v>Platform operations and scale</x:v>
      </x:c>
      <x:c r="C238" s="29" t="str">
        <x:v>Signed builds and progressive rollout</x:v>
      </x:c>
      <x:c r="D238" s="29" t="str">
        <x:v>G0</x:v>
      </x:c>
      <x:c r="E238" s="29" t="str">
        <x:v>P0</x:v>
      </x:c>
      <x:c r="F238" s="29" t="str">
        <x:v>SRE</x:v>
      </x:c>
      <x:c r="G238" s="39"/>
      <x:c r="H238" s="29" t="str">
        <x:v>GOV-007</x:v>
      </x:c>
      <x:c r="I238" s="39" t="str">
        <x:v>Not started</x:v>
      </x:c>
      <x:c r="J238" s="33" t="n">
        <x:f>IF(AND(I238="Done",N238&lt;&gt;""),1,0)</x:f>
        <x:v>0</x:v>
      </x:c>
      <x:c r="K238" s="29" t="str">
        <x:v>Canary cells deploy first; automatic safety checks stop harmful rollouts.</x:v>
      </x:c>
      <x:c r="L238" s="29" t="str">
        <x:v>infra/; docs/runbooks/ (proposed)</x:v>
      </x:c>
      <x:c r="M238" s="29" t="str">
        <x:v>AT-OPS-003</x:v>
      </x:c>
      <x:c r="N238" s="39"/>
      <x:c r="O238" s="41"/>
      <x:c r="P238" s="43"/>
      <x:c r="Q238" s="43"/>
      <x:c r="R238" s="29" t="str">
        <x:v>S15-S18,S32-S33</x:v>
      </x:c>
      <x:c r="S238" s="39" t="str">
        <x:v>Proposed target paths; no repository implementation inspected. Completion requires linked evidence.</x:v>
      </x:c>
      <x:c r="T238" s="29" t="str">
        <x:f>IF(I238="Done",IF(N238="","MISSING EVIDENCE","Review evidence"),"Pending")</x:f>
        <x:v>Pending</x:v>
      </x:c>
      <x:c r="U238" s="29" t="str">
        <x:f>IF(AND(Q238&lt;&gt;"",Q238&lt;TODAY(),I238&lt;&gt;"Done"),"OVERDUE","")</x:f>
      </x:c>
    </x:row>
    <x:row r="239" ht="74" customHeight="1">
      <x:c r="A239" s="29" t="str">
        <x:v>OPS-004</x:v>
      </x:c>
      <x:c r="B239" s="29" t="str">
        <x:v>Platform operations and scale</x:v>
      </x:c>
      <x:c r="C239" s="29" t="str">
        <x:v>Autoscaling and prewarming</x:v>
      </x:c>
      <x:c r="D239" s="29" t="str">
        <x:v>G0</x:v>
      </x:c>
      <x:c r="E239" s="29" t="str">
        <x:v>P0</x:v>
      </x:c>
      <x:c r="F239" s="29" t="str">
        <x:v>SRE</x:v>
      </x:c>
      <x:c r="G239" s="39"/>
      <x:c r="H239" s="29" t="str">
        <x:v>GOV-007</x:v>
      </x:c>
      <x:c r="I239" s="39" t="str">
        <x:v>Not started</x:v>
      </x:c>
      <x:c r="J239" s="33" t="n">
        <x:f>IF(AND(I239="Done",N239&lt;&gt;""),1,0)</x:f>
        <x:v>0</x:v>
      </x:c>
      <x:c r="K239" s="29" t="str">
        <x:v>Queue lag/CPU/concurrency drive scaling within quotas; predictable campaigns reserve capacity.</x:v>
      </x:c>
      <x:c r="L239" s="29" t="str">
        <x:v>infra/; docs/runbooks/ (proposed)</x:v>
      </x:c>
      <x:c r="M239" s="29" t="str">
        <x:v>AT-OPS-004</x:v>
      </x:c>
      <x:c r="N239" s="39"/>
      <x:c r="O239" s="41"/>
      <x:c r="P239" s="43"/>
      <x:c r="Q239" s="43"/>
      <x:c r="R239" s="29" t="str">
        <x:v>S15-S18,S32-S33</x:v>
      </x:c>
      <x:c r="S239" s="39" t="str">
        <x:v>Proposed target paths; no repository implementation inspected. Completion requires linked evidence.</x:v>
      </x:c>
      <x:c r="T239" s="29" t="str">
        <x:f>IF(I239="Done",IF(N239="","MISSING EVIDENCE","Review evidence"),"Pending")</x:f>
        <x:v>Pending</x:v>
      </x:c>
      <x:c r="U239" s="29" t="str">
        <x:f>IF(AND(Q239&lt;&gt;"",Q239&lt;TODAY(),I239&lt;&gt;"Done"),"OVERDUE","")</x:f>
      </x:c>
    </x:row>
    <x:row r="240" ht="74" customHeight="1">
      <x:c r="A240" s="29" t="str">
        <x:v>OPS-005</x:v>
      </x:c>
      <x:c r="B240" s="29" t="str">
        <x:v>Platform operations and scale</x:v>
      </x:c>
      <x:c r="C240" s="29" t="str">
        <x:v>Observability and SLO alerts</x:v>
      </x:c>
      <x:c r="D240" s="29" t="str">
        <x:v>G0</x:v>
      </x:c>
      <x:c r="E240" s="29" t="str">
        <x:v>P0</x:v>
      </x:c>
      <x:c r="F240" s="29" t="str">
        <x:v>SRE</x:v>
      </x:c>
      <x:c r="G240" s="39"/>
      <x:c r="H240" s="29" t="str">
        <x:v>GOV-007</x:v>
      </x:c>
      <x:c r="I240" s="39" t="str">
        <x:v>Not started</x:v>
      </x:c>
      <x:c r="J240" s="33" t="n">
        <x:f>IF(AND(I240="Done",N240&lt;&gt;""),1,0)</x:f>
        <x:v>0</x:v>
      </x:c>
      <x:c r="K240" s="29" t="str">
        <x:v>Latency, backlog and durability signals have owners and actionable runbooks.</x:v>
      </x:c>
      <x:c r="L240" s="29" t="str">
        <x:v>infra/; docs/runbooks/ (proposed)</x:v>
      </x:c>
      <x:c r="M240" s="29" t="str">
        <x:v>AT-OPS-005</x:v>
      </x:c>
      <x:c r="N240" s="39"/>
      <x:c r="O240" s="41"/>
      <x:c r="P240" s="43"/>
      <x:c r="Q240" s="43"/>
      <x:c r="R240" s="29" t="str">
        <x:v>S15-S18,S32-S33</x:v>
      </x:c>
      <x:c r="S240" s="39" t="str">
        <x:v>Proposed target paths; no repository implementation inspected. Completion requires linked evidence.</x:v>
      </x:c>
      <x:c r="T240" s="29" t="str">
        <x:f>IF(I240="Done",IF(N240="","MISSING EVIDENCE","Review evidence"),"Pending")</x:f>
        <x:v>Pending</x:v>
      </x:c>
      <x:c r="U240" s="29" t="str">
        <x:f>IF(AND(Q240&lt;&gt;"",Q240&lt;TODAY(),I240&lt;&gt;"Done"),"OVERDUE","")</x:f>
      </x:c>
    </x:row>
    <x:row r="241" ht="74" customHeight="1">
      <x:c r="A241" s="29" t="str">
        <x:v>OPS-006</x:v>
      </x:c>
      <x:c r="B241" s="29" t="str">
        <x:v>Platform operations and scale</x:v>
      </x:c>
      <x:c r="C241" s="29" t="str">
        <x:v>Kafka and datastore operations</x:v>
      </x:c>
      <x:c r="D241" s="29" t="str">
        <x:v>G0</x:v>
      </x:c>
      <x:c r="E241" s="29" t="str">
        <x:v>P0</x:v>
      </x:c>
      <x:c r="F241" s="29" t="str">
        <x:v>SRE</x:v>
      </x:c>
      <x:c r="G241" s="39"/>
      <x:c r="H241" s="29" t="str">
        <x:v>GOV-007</x:v>
      </x:c>
      <x:c r="I241" s="39" t="str">
        <x:v>Not started</x:v>
      </x:c>
      <x:c r="J241" s="33" t="n">
        <x:f>IF(AND(I241="Done",N241&lt;&gt;""),1,0)</x:f>
        <x:v>0</x:v>
      </x:c>
      <x:c r="K241" s="29" t="str">
        <x:v>Partition/disk/ISR/CDC/connection-pool alarms and routine maintenance are tested.</x:v>
      </x:c>
      <x:c r="L241" s="29" t="str">
        <x:v>infra/; docs/runbooks/ (proposed)</x:v>
      </x:c>
      <x:c r="M241" s="29" t="str">
        <x:v>AT-OPS-006</x:v>
      </x:c>
      <x:c r="N241" s="39"/>
      <x:c r="O241" s="41"/>
      <x:c r="P241" s="43"/>
      <x:c r="Q241" s="43"/>
      <x:c r="R241" s="29" t="str">
        <x:v>S15-S18,S32-S33</x:v>
      </x:c>
      <x:c r="S241" s="39" t="str">
        <x:v>Proposed target paths; no repository implementation inspected. Completion requires linked evidence.</x:v>
      </x:c>
      <x:c r="T241" s="29" t="str">
        <x:f>IF(I241="Done",IF(N241="","MISSING EVIDENCE","Review evidence"),"Pending")</x:f>
        <x:v>Pending</x:v>
      </x:c>
      <x:c r="U241" s="29" t="str">
        <x:f>IF(AND(Q241&lt;&gt;"",Q241&lt;TODAY(),I241&lt;&gt;"Done"),"OVERDUE","")</x:f>
      </x:c>
    </x:row>
    <x:row r="242" ht="74" customHeight="1">
      <x:c r="A242" s="29" t="str">
        <x:v>OPS-007</x:v>
      </x:c>
      <x:c r="B242" s="29" t="str">
        <x:v>Platform operations and scale</x:v>
      </x:c>
      <x:c r="C242" s="29" t="str">
        <x:v>Backups and restore drills</x:v>
      </x:c>
      <x:c r="D242" s="29" t="str">
        <x:v>G0</x:v>
      </x:c>
      <x:c r="E242" s="29" t="str">
        <x:v>P0</x:v>
      </x:c>
      <x:c r="F242" s="29" t="str">
        <x:v>SRE</x:v>
      </x:c>
      <x:c r="G242" s="39"/>
      <x:c r="H242" s="29" t="str">
        <x:v>GOV-007</x:v>
      </x:c>
      <x:c r="I242" s="39" t="str">
        <x:v>Not started</x:v>
      </x:c>
      <x:c r="J242" s="33" t="n">
        <x:f>IF(AND(I242="Done",N242&lt;&gt;""),1,0)</x:f>
        <x:v>0</x:v>
      </x:c>
      <x:c r="K242" s="29" t="str">
        <x:v>Recover a tenant/cell from backup plus event log and replay deletion tombstones before exposure.</x:v>
      </x:c>
      <x:c r="L242" s="29" t="str">
        <x:v>infra/; docs/runbooks/ (proposed)</x:v>
      </x:c>
      <x:c r="M242" s="29" t="str">
        <x:v>AT-OPS-007</x:v>
      </x:c>
      <x:c r="N242" s="39"/>
      <x:c r="O242" s="41"/>
      <x:c r="P242" s="43"/>
      <x:c r="Q242" s="43"/>
      <x:c r="R242" s="29" t="str">
        <x:v>S15-S18,S32-S33</x:v>
      </x:c>
      <x:c r="S242" s="39" t="str">
        <x:v>Proposed target paths; no repository implementation inspected. Completion requires linked evidence.</x:v>
      </x:c>
      <x:c r="T242" s="29" t="str">
        <x:f>IF(I242="Done",IF(N242="","MISSING EVIDENCE","Review evidence"),"Pending")</x:f>
        <x:v>Pending</x:v>
      </x:c>
      <x:c r="U242" s="29" t="str">
        <x:f>IF(AND(Q242&lt;&gt;"",Q242&lt;TODAY(),I242&lt;&gt;"Done"),"OVERDUE","")</x:f>
      </x:c>
    </x:row>
    <x:row r="243" ht="74" customHeight="1">
      <x:c r="A243" s="29" t="str">
        <x:v>OPS-008</x:v>
      </x:c>
      <x:c r="B243" s="29" t="str">
        <x:v>Platform operations and scale</x:v>
      </x:c>
      <x:c r="C243" s="29" t="str">
        <x:v>Regional DR and ownership fence</x:v>
      </x:c>
      <x:c r="D243" s="29" t="str">
        <x:v>G2</x:v>
      </x:c>
      <x:c r="E243" s="29" t="str">
        <x:v>P1</x:v>
      </x:c>
      <x:c r="F243" s="29" t="str">
        <x:v>SRE</x:v>
      </x:c>
      <x:c r="G243" s="39"/>
      <x:c r="H243" s="29" t="str">
        <x:v>GOV-007</x:v>
      </x:c>
      <x:c r="I243" s="39" t="str">
        <x:v>Not started</x:v>
      </x:c>
      <x:c r="J243" s="33" t="n">
        <x:f>IF(AND(I243="Done",N243&lt;&gt;""),1,0)</x:f>
        <x:v>0</x:v>
      </x:c>
      <x:c r="K243" s="29" t="str">
        <x:v>Promote only permitted region with fencing; unknown external sends remain quarantined.</x:v>
      </x:c>
      <x:c r="L243" s="29" t="str">
        <x:v>infra/; docs/runbooks/ (proposed)</x:v>
      </x:c>
      <x:c r="M243" s="29" t="str">
        <x:v>AT-OPS-008</x:v>
      </x:c>
      <x:c r="N243" s="39"/>
      <x:c r="O243" s="41"/>
      <x:c r="P243" s="43"/>
      <x:c r="Q243" s="43"/>
      <x:c r="R243" s="29" t="str">
        <x:v>S15-S18,S32-S33</x:v>
      </x:c>
      <x:c r="S243" s="39" t="str">
        <x:v>Proposed target paths; no repository implementation inspected. Completion requires linked evidence.</x:v>
      </x:c>
      <x:c r="T243" s="29" t="str">
        <x:f>IF(I243="Done",IF(N243="","MISSING EVIDENCE","Review evidence"),"Pending")</x:f>
        <x:v>Pending</x:v>
      </x:c>
      <x:c r="U243" s="29" t="str">
        <x:f>IF(AND(Q243&lt;&gt;"",Q243&lt;TODAY(),I243&lt;&gt;"Done"),"OVERDUE","")</x:f>
      </x:c>
    </x:row>
    <x:row r="244" ht="74" customHeight="1">
      <x:c r="A244" s="29" t="str">
        <x:v>OPS-009</x:v>
      </x:c>
      <x:c r="B244" s="29" t="str">
        <x:v>Platform operations and scale</x:v>
      </x:c>
      <x:c r="C244" s="29" t="str">
        <x:v>Fleet capacity and vendor quotas</x:v>
      </x:c>
      <x:c r="D244" s="29" t="str">
        <x:v>G2</x:v>
      </x:c>
      <x:c r="E244" s="29" t="str">
        <x:v>P1</x:v>
      </x:c>
      <x:c r="F244" s="29" t="str">
        <x:v>SRE</x:v>
      </x:c>
      <x:c r="G244" s="39"/>
      <x:c r="H244" s="29" t="str">
        <x:v>GOV-007</x:v>
      </x:c>
      <x:c r="I244" s="39" t="str">
        <x:v>Not started</x:v>
      </x:c>
      <x:c r="J244" s="33" t="n">
        <x:f>IF(AND(I244="Done",N244&lt;&gt;""),1,0)</x:f>
        <x:v>0</x:v>
      </x:c>
      <x:c r="K244" s="29" t="str">
        <x:v>Measured per-cell limits, region headroom, provider/API quotas and support contracts exist.</x:v>
      </x:c>
      <x:c r="L244" s="29" t="str">
        <x:v>infra/; docs/runbooks/ (proposed)</x:v>
      </x:c>
      <x:c r="M244" s="29" t="str">
        <x:v>AT-OPS-009</x:v>
      </x:c>
      <x:c r="N244" s="39"/>
      <x:c r="O244" s="41"/>
      <x:c r="P244" s="43"/>
      <x:c r="Q244" s="43"/>
      <x:c r="R244" s="29" t="str">
        <x:v>S15-S18,S32-S33</x:v>
      </x:c>
      <x:c r="S244" s="39" t="str">
        <x:v>Proposed target paths; no repository implementation inspected. Completion requires linked evidence.</x:v>
      </x:c>
      <x:c r="T244" s="29" t="str">
        <x:f>IF(I244="Done",IF(N244="","MISSING EVIDENCE","Review evidence"),"Pending")</x:f>
        <x:v>Pending</x:v>
      </x:c>
      <x:c r="U244" s="29" t="str">
        <x:f>IF(AND(Q244&lt;&gt;"",Q244&lt;TODAY(),I244&lt;&gt;"Done"),"OVERDUE","")</x:f>
      </x:c>
    </x:row>
    <x:row r="245" ht="74" customHeight="1">
      <x:c r="A245" s="29" t="str">
        <x:v>OPS-010</x:v>
      </x:c>
      <x:c r="B245" s="29" t="str">
        <x:v>Platform operations and scale</x:v>
      </x:c>
      <x:c r="C245" s="29" t="str">
        <x:v>Chaos and failure exercises</x:v>
      </x:c>
      <x:c r="D245" s="29" t="str">
        <x:v>G1</x:v>
      </x:c>
      <x:c r="E245" s="29" t="str">
        <x:v>P0</x:v>
      </x:c>
      <x:c r="F245" s="29" t="str">
        <x:v>SRE</x:v>
      </x:c>
      <x:c r="G245" s="39"/>
      <x:c r="H245" s="29" t="str">
        <x:v>GOV-007</x:v>
      </x:c>
      <x:c r="I245" s="39" t="str">
        <x:v>Not started</x:v>
      </x:c>
      <x:c r="J245" s="33" t="n">
        <x:f>IF(AND(I245="Done",N245&lt;&gt;""),1,0)</x:f>
        <x:v>0</x:v>
      </x:c>
      <x:c r="K245" s="29" t="str">
        <x:v>Broker, AZ, cache, KMS, provider, control-plane and network partitions have measured outcomes.</x:v>
      </x:c>
      <x:c r="L245" s="29" t="str">
        <x:v>infra/; docs/runbooks/ (proposed)</x:v>
      </x:c>
      <x:c r="M245" s="29" t="str">
        <x:v>AT-OPS-010</x:v>
      </x:c>
      <x:c r="N245" s="39"/>
      <x:c r="O245" s="41"/>
      <x:c r="P245" s="43"/>
      <x:c r="Q245" s="43"/>
      <x:c r="R245" s="29" t="str">
        <x:v>S15-S18,S32-S33</x:v>
      </x:c>
      <x:c r="S245" s="39" t="str">
        <x:v>Proposed target paths; no repository implementation inspected. Completion requires linked evidence.</x:v>
      </x:c>
      <x:c r="T245" s="29" t="str">
        <x:f>IF(I245="Done",IF(N245="","MISSING EVIDENCE","Review evidence"),"Pending")</x:f>
        <x:v>Pending</x:v>
      </x:c>
      <x:c r="U245" s="29" t="str">
        <x:f>IF(AND(Q245&lt;&gt;"",Q245&lt;TODAY(),I245&lt;&gt;"Done"),"OVERDUE","")</x:f>
      </x:c>
    </x:row>
    <x:row r="246" ht="74" customHeight="1">
      <x:c r="A246" s="29" t="str">
        <x:v>OPS-011</x:v>
      </x:c>
      <x:c r="B246" s="29" t="str">
        <x:v>Platform operations and scale</x:v>
      </x:c>
      <x:c r="C246" s="29" t="str">
        <x:v>Cost and cardinality controls</x:v>
      </x:c>
      <x:c r="D246" s="29" t="str">
        <x:v>G0</x:v>
      </x:c>
      <x:c r="E246" s="29" t="str">
        <x:v>P0</x:v>
      </x:c>
      <x:c r="F246" s="29" t="str">
        <x:v>SRE</x:v>
      </x:c>
      <x:c r="G246" s="39"/>
      <x:c r="H246" s="29" t="str">
        <x:v>GOV-007</x:v>
      </x:c>
      <x:c r="I246" s="39" t="str">
        <x:v>Not started</x:v>
      </x:c>
      <x:c r="J246" s="33" t="n">
        <x:f>IF(AND(I246="Done",N246&lt;&gt;""),1,0)</x:f>
        <x:v>0</x:v>
      </x:c>
      <x:c r="K246" s="29" t="str">
        <x:v>No tenant/customer labels in unbounded metrics; logging, tracing and data retention budgets enforced.</x:v>
      </x:c>
      <x:c r="L246" s="29" t="str">
        <x:v>infra/; docs/runbooks/ (proposed)</x:v>
      </x:c>
      <x:c r="M246" s="29" t="str">
        <x:v>AT-OPS-011</x:v>
      </x:c>
      <x:c r="N246" s="39"/>
      <x:c r="O246" s="41"/>
      <x:c r="P246" s="43"/>
      <x:c r="Q246" s="43"/>
      <x:c r="R246" s="29" t="str">
        <x:v>S15-S18,S32-S33</x:v>
      </x:c>
      <x:c r="S246" s="39" t="str">
        <x:v>Proposed target paths; no repository implementation inspected. Completion requires linked evidence.</x:v>
      </x:c>
      <x:c r="T246" s="29" t="str">
        <x:f>IF(I246="Done",IF(N246="","MISSING EVIDENCE","Review evidence"),"Pending")</x:f>
        <x:v>Pending</x:v>
      </x:c>
      <x:c r="U246" s="29" t="str">
        <x:f>IF(AND(Q246&lt;&gt;"",Q246&lt;TODAY(),I246&lt;&gt;"Done"),"OVERDUE","")</x:f>
      </x:c>
    </x:row>
    <x:row r="247" ht="74" customHeight="1">
      <x:c r="A247" s="29" t="str">
        <x:v>OPS-012</x:v>
      </x:c>
      <x:c r="B247" s="29" t="str">
        <x:v>Platform operations and scale</x:v>
      </x:c>
      <x:c r="C247" s="29" t="str">
        <x:v>Operations staffing and on-call</x:v>
      </x:c>
      <x:c r="D247" s="29" t="str">
        <x:v>G0</x:v>
      </x:c>
      <x:c r="E247" s="29" t="str">
        <x:v>P0</x:v>
      </x:c>
      <x:c r="F247" s="29" t="str">
        <x:v>SRE</x:v>
      </x:c>
      <x:c r="G247" s="39"/>
      <x:c r="H247" s="29" t="str">
        <x:v>GOV-007</x:v>
      </x:c>
      <x:c r="I247" s="39" t="str">
        <x:v>Not started</x:v>
      </x:c>
      <x:c r="J247" s="33" t="n">
        <x:f>IF(AND(I247="Done",N247&lt;&gt;""),1,0)</x:f>
        <x:v>0</x:v>
      </x:c>
      <x:c r="K247" s="29" t="str">
        <x:v>Primary/secondary rotations, escalation contacts and incident ownership are in place.</x:v>
      </x:c>
      <x:c r="L247" s="29" t="str">
        <x:v>infra/; docs/runbooks/ (proposed)</x:v>
      </x:c>
      <x:c r="M247" s="29" t="str">
        <x:v>AT-OPS-012</x:v>
      </x:c>
      <x:c r="N247" s="39"/>
      <x:c r="O247" s="41"/>
      <x:c r="P247" s="43"/>
      <x:c r="Q247" s="43"/>
      <x:c r="R247" s="29" t="str">
        <x:v>S15-S18,S32-S33</x:v>
      </x:c>
      <x:c r="S247" s="39" t="str">
        <x:v>Proposed target paths; no repository implementation inspected. Completion requires linked evidence.</x:v>
      </x:c>
      <x:c r="T247" s="29" t="str">
        <x:f>IF(I247="Done",IF(N247="","MISSING EVIDENCE","Review evidence"),"Pending")</x:f>
        <x:v>Pending</x:v>
      </x:c>
      <x:c r="U247" s="29" t="str">
        <x:f>IF(AND(Q247&lt;&gt;"",Q247&lt;TODAY(),I247&lt;&gt;"Done"),"OVERDUE","")</x:f>
      </x:c>
    </x:row>
    <x:row r="248" ht="74" customHeight="1">
      <x:c r="A248" s="29" t="str">
        <x:v>QAT-001</x:v>
      </x:c>
      <x:c r="B248" s="29" t="str">
        <x:v>Verification and external approvals</x:v>
      </x:c>
      <x:c r="C248" s="29" t="str">
        <x:v>Unit, property and contract suites</x:v>
      </x:c>
      <x:c r="D248" s="29" t="str">
        <x:v>G1</x:v>
      </x:c>
      <x:c r="E248" s="29" t="str">
        <x:v>P0</x:v>
      </x:c>
      <x:c r="F248" s="29" t="str">
        <x:v>Quality</x:v>
      </x:c>
      <x:c r="G248" s="39"/>
      <x:c r="H248" s="29" t="str">
        <x:v>EVT-003, MSG-001</x:v>
      </x:c>
      <x:c r="I248" s="39" t="str">
        <x:v>Not started</x:v>
      </x:c>
      <x:c r="J248" s="33" t="n">
        <x:f>IF(AND(I248="Done",N248&lt;&gt;""),1,0)</x:f>
        <x:v>0</x:v>
      </x:c>
      <x:c r="K248" s="29" t="str">
        <x:v>Invariant, parser, policy, state machine and provider fixtures run in CI.</x:v>
      </x:c>
      <x:c r="L248" s="29" t="str">
        <x:v>tests/; docs/evidence/ (proposed)</x:v>
      </x:c>
      <x:c r="M248" s="29" t="str">
        <x:v>AT-QAT-001</x:v>
      </x:c>
      <x:c r="N248" s="39"/>
      <x:c r="O248" s="41"/>
      <x:c r="P248" s="43"/>
      <x:c r="Q248" s="43"/>
      <x:c r="R248" s="29" t="str">
        <x:v>S02-S13</x:v>
      </x:c>
      <x:c r="S248" s="39" t="str">
        <x:v>Proposed target paths; no repository implementation inspected. Completion requires linked evidence.</x:v>
      </x:c>
      <x:c r="T248" s="29" t="str">
        <x:f>IF(I248="Done",IF(N248="","MISSING EVIDENCE","Review evidence"),"Pending")</x:f>
        <x:v>Pending</x:v>
      </x:c>
      <x:c r="U248" s="29" t="str">
        <x:f>IF(AND(Q248&lt;&gt;"",Q248&lt;TODAY(),I248&lt;&gt;"Done"),"OVERDUE","")</x:f>
      </x:c>
    </x:row>
    <x:row r="249" ht="74" customHeight="1">
      <x:c r="A249" s="29" t="str">
        <x:v>QAT-002</x:v>
      </x:c>
      <x:c r="B249" s="29" t="str">
        <x:v>Verification and external approvals</x:v>
      </x:c>
      <x:c r="C249" s="29" t="str">
        <x:v>End-to-end business fixtures</x:v>
      </x:c>
      <x:c r="D249" s="29" t="str">
        <x:v>G1</x:v>
      </x:c>
      <x:c r="E249" s="29" t="str">
        <x:v>P0</x:v>
      </x:c>
      <x:c r="F249" s="29" t="str">
        <x:v>Quality</x:v>
      </x:c>
      <x:c r="G249" s="39"/>
      <x:c r="H249" s="29" t="str">
        <x:v>EVT-003, MSG-001</x:v>
      </x:c>
      <x:c r="I249" s="39" t="str">
        <x:v>Not started</x:v>
      </x:c>
      <x:c r="J249" s="33" t="n">
        <x:f>IF(AND(I249="Done",N249&lt;&gt;""),1,0)</x:f>
        <x:v>0</x:v>
      </x:c>
      <x:c r="K249" s="29" t="str">
        <x:v>Signup to message/booking/payment/outcome paths pass in sandbox with evidence.</x:v>
      </x:c>
      <x:c r="L249" s="29" t="str">
        <x:v>tests/; docs/evidence/ (proposed)</x:v>
      </x:c>
      <x:c r="M249" s="29" t="str">
        <x:v>AT-QAT-002</x:v>
      </x:c>
      <x:c r="N249" s="39"/>
      <x:c r="O249" s="41"/>
      <x:c r="P249" s="43"/>
      <x:c r="Q249" s="43"/>
      <x:c r="R249" s="29" t="str">
        <x:v>S02-S13</x:v>
      </x:c>
      <x:c r="S249" s="39" t="str">
        <x:v>Proposed target paths; no repository implementation inspected. Completion requires linked evidence.</x:v>
      </x:c>
      <x:c r="T249" s="29" t="str">
        <x:f>IF(I249="Done",IF(N249="","MISSING EVIDENCE","Review evidence"),"Pending")</x:f>
        <x:v>Pending</x:v>
      </x:c>
      <x:c r="U249" s="29" t="str">
        <x:f>IF(AND(Q249&lt;&gt;"",Q249&lt;TODAY(),I249&lt;&gt;"Done"),"OVERDUE","")</x:f>
      </x:c>
    </x:row>
    <x:row r="250" ht="74" customHeight="1">
      <x:c r="A250" s="29" t="str">
        <x:v>QAT-003</x:v>
      </x:c>
      <x:c r="B250" s="29" t="str">
        <x:v>Verification and external approvals</x:v>
      </x:c>
      <x:c r="C250" s="29" t="str">
        <x:v>Cross-tenant adversarial tests</x:v>
      </x:c>
      <x:c r="D250" s="29" t="str">
        <x:v>G1</x:v>
      </x:c>
      <x:c r="E250" s="29" t="str">
        <x:v>P0</x:v>
      </x:c>
      <x:c r="F250" s="29" t="str">
        <x:v>Quality</x:v>
      </x:c>
      <x:c r="G250" s="39"/>
      <x:c r="H250" s="29" t="str">
        <x:v>EVT-003, MSG-001</x:v>
      </x:c>
      <x:c r="I250" s="39" t="str">
        <x:v>Not started</x:v>
      </x:c>
      <x:c r="J250" s="33" t="n">
        <x:f>IF(AND(I250="Done",N250&lt;&gt;""),1,0)</x:f>
        <x:v>0</x:v>
      </x:c>
      <x:c r="K250" s="29" t="str">
        <x:v>Forged tenant IDs, cache keys, sockets, searches, exports and background jobs fail isolation attempts.</x:v>
      </x:c>
      <x:c r="L250" s="29" t="str">
        <x:v>tests/; docs/evidence/ (proposed)</x:v>
      </x:c>
      <x:c r="M250" s="29" t="str">
        <x:v>AT-QAT-003</x:v>
      </x:c>
      <x:c r="N250" s="39"/>
      <x:c r="O250" s="41"/>
      <x:c r="P250" s="43"/>
      <x:c r="Q250" s="43"/>
      <x:c r="R250" s="29" t="str">
        <x:v>S02-S13</x:v>
      </x:c>
      <x:c r="S250" s="39" t="str">
        <x:v>Proposed target paths; no repository implementation inspected. Completion requires linked evidence.</x:v>
      </x:c>
      <x:c r="T250" s="29" t="str">
        <x:f>IF(I250="Done",IF(N250="","MISSING EVIDENCE","Review evidence"),"Pending")</x:f>
        <x:v>Pending</x:v>
      </x:c>
      <x:c r="U250" s="29" t="str">
        <x:f>IF(AND(Q250&lt;&gt;"",Q250&lt;TODAY(),I250&lt;&gt;"Done"),"OVERDUE","")</x:f>
      </x:c>
    </x:row>
    <x:row r="251" ht="74" customHeight="1">
      <x:c r="A251" s="29" t="str">
        <x:v>QAT-004</x:v>
      </x:c>
      <x:c r="B251" s="29" t="str">
        <x:v>Verification and external approvals</x:v>
      </x:c>
      <x:c r="C251" s="29" t="str">
        <x:v>Acknowledgement crash-window tests</x:v>
      </x:c>
      <x:c r="D251" s="29" t="str">
        <x:v>G1</x:v>
      </x:c>
      <x:c r="E251" s="29" t="str">
        <x:v>P0</x:v>
      </x:c>
      <x:c r="F251" s="29" t="str">
        <x:v>Quality</x:v>
      </x:c>
      <x:c r="G251" s="39"/>
      <x:c r="H251" s="29" t="str">
        <x:v>EVT-003, MSG-001</x:v>
      </x:c>
      <x:c r="I251" s="39" t="str">
        <x:v>Not started</x:v>
      </x:c>
      <x:c r="J251" s="33" t="n">
        <x:f>IF(AND(I251="Done",N251&lt;&gt;""),1,0)</x:f>
        <x:v>0</x:v>
      </x:c>
      <x:c r="K251" s="29" t="str">
        <x:v>Kill every stage around durable acceptance, provider call and offset commit; document duplicates/unknowns.</x:v>
      </x:c>
      <x:c r="L251" s="29" t="str">
        <x:v>tests/; docs/evidence/ (proposed)</x:v>
      </x:c>
      <x:c r="M251" s="29" t="str">
        <x:v>AT-QAT-004</x:v>
      </x:c>
      <x:c r="N251" s="39"/>
      <x:c r="O251" s="41"/>
      <x:c r="P251" s="43"/>
      <x:c r="Q251" s="43"/>
      <x:c r="R251" s="29" t="str">
        <x:v>S02-S13</x:v>
      </x:c>
      <x:c r="S251" s="39" t="str">
        <x:v>Proposed target paths; no repository implementation inspected. Completion requires linked evidence.</x:v>
      </x:c>
      <x:c r="T251" s="29" t="str">
        <x:f>IF(I251="Done",IF(N251="","MISSING EVIDENCE","Review evidence"),"Pending")</x:f>
        <x:v>Pending</x:v>
      </x:c>
      <x:c r="U251" s="29" t="str">
        <x:f>IF(AND(Q251&lt;&gt;"",Q251&lt;TODAY(),I251&lt;&gt;"Done"),"OVERDUE","")</x:f>
      </x:c>
    </x:row>
    <x:row r="252" ht="74" customHeight="1">
      <x:c r="A252" s="29" t="str">
        <x:v>QAT-005</x:v>
      </x:c>
      <x:c r="B252" s="29" t="str">
        <x:v>Verification and external approvals</x:v>
      </x:c>
      <x:c r="C252" s="29" t="str">
        <x:v>Load and soak certification</x:v>
      </x:c>
      <x:c r="D252" s="29" t="str">
        <x:v>G1</x:v>
      </x:c>
      <x:c r="E252" s="29" t="str">
        <x:v>P0</x:v>
      </x:c>
      <x:c r="F252" s="29" t="str">
        <x:v>Quality</x:v>
      </x:c>
      <x:c r="G252" s="39"/>
      <x:c r="H252" s="29" t="str">
        <x:v>EVT-003, MSG-001</x:v>
      </x:c>
      <x:c r="I252" s="39" t="str">
        <x:v>Not started</x:v>
      </x:c>
      <x:c r="J252" s="33" t="n">
        <x:f>IF(AND(I252="Done",N252&lt;&gt;""),1,0)</x:f>
        <x:v>0</x:v>
      </x:c>
      <x:c r="K252" s="29" t="str">
        <x:v>Certified cell peak and 72-hour soak include skew, failures, media mix and long-lived connections.</x:v>
      </x:c>
      <x:c r="L252" s="29" t="str">
        <x:v>tests/; docs/evidence/ (proposed)</x:v>
      </x:c>
      <x:c r="M252" s="29" t="str">
        <x:v>AT-QAT-005</x:v>
      </x:c>
      <x:c r="N252" s="39"/>
      <x:c r="O252" s="41"/>
      <x:c r="P252" s="43"/>
      <x:c r="Q252" s="43"/>
      <x:c r="R252" s="29" t="str">
        <x:v>S02-S13</x:v>
      </x:c>
      <x:c r="S252" s="39" t="str">
        <x:v>Proposed target paths; no repository implementation inspected. Completion requires linked evidence.</x:v>
      </x:c>
      <x:c r="T252" s="29" t="str">
        <x:f>IF(I252="Done",IF(N252="","MISSING EVIDENCE","Review evidence"),"Pending")</x:f>
        <x:v>Pending</x:v>
      </x:c>
      <x:c r="U252" s="29" t="str">
        <x:f>IF(AND(Q252&lt;&gt;"",Q252&lt;TODAY(),I252&lt;&gt;"Done"),"OVERDUE","")</x:f>
      </x:c>
    </x:row>
    <x:row r="253" ht="74" customHeight="1">
      <x:c r="A253" s="29" t="str">
        <x:v>QAT-006</x:v>
      </x:c>
      <x:c r="B253" s="29" t="str">
        <x:v>Verification and external approvals</x:v>
      </x:c>
      <x:c r="C253" s="29" t="str">
        <x:v>Meta scope-by-scope app review</x:v>
      </x:c>
      <x:c r="D253" s="29" t="str">
        <x:v>G1</x:v>
      </x:c>
      <x:c r="E253" s="29" t="str">
        <x:v>P0</x:v>
      </x:c>
      <x:c r="F253" s="29" t="str">
        <x:v>Quality</x:v>
      </x:c>
      <x:c r="G253" s="39"/>
      <x:c r="H253" s="29" t="str">
        <x:v>EVT-003, MSG-001, WHA-003, WHA-007</x:v>
      </x:c>
      <x:c r="I253" s="39" t="str">
        <x:v>Not started</x:v>
      </x:c>
      <x:c r="J253" s="33" t="n">
        <x:f>IF(AND(I253="Done",N253&lt;&gt;""),1,0)</x:f>
        <x:v>0</x:v>
      </x:c>
      <x:c r="K253" s="29" t="str">
        <x:v>Reviewer videos/accounts/scripts prove actual requested permissions and test customer consent.</x:v>
      </x:c>
      <x:c r="L253" s="29" t="str">
        <x:v>tests/; docs/evidence/ (proposed)</x:v>
      </x:c>
      <x:c r="M253" s="29" t="str">
        <x:v>AT-QAT-006</x:v>
      </x:c>
      <x:c r="N253" s="39"/>
      <x:c r="O253" s="41"/>
      <x:c r="P253" s="43"/>
      <x:c r="Q253" s="43"/>
      <x:c r="R253" s="29" t="str">
        <x:v>S02-S13</x:v>
      </x:c>
      <x:c r="S253" s="39" t="str">
        <x:v>Proposed target paths; no repository implementation inspected. Completion requires linked evidence.</x:v>
      </x:c>
      <x:c r="T253" s="29" t="str">
        <x:f>IF(I253="Done",IF(N253="","MISSING EVIDENCE","Review evidence"),"Pending")</x:f>
        <x:v>Pending</x:v>
      </x:c>
      <x:c r="U253" s="29" t="str">
        <x:f>IF(AND(Q253&lt;&gt;"",Q253&lt;TODAY(),I253&lt;&gt;"Done"),"OVERDUE","")</x:f>
      </x:c>
    </x:row>
    <x:row r="254" ht="74" customHeight="1">
      <x:c r="A254" s="29" t="str">
        <x:v>QAT-007</x:v>
      </x:c>
      <x:c r="B254" s="29" t="str">
        <x:v>Verification and external approvals</x:v>
      </x:c>
      <x:c r="C254" s="29" t="str">
        <x:v>Access/business verification evidence</x:v>
      </x:c>
      <x:c r="D254" s="29" t="str">
        <x:v>G1</x:v>
      </x:c>
      <x:c r="E254" s="29" t="str">
        <x:v>P0</x:v>
      </x:c>
      <x:c r="F254" s="29" t="str">
        <x:v>Quality</x:v>
      </x:c>
      <x:c r="G254" s="39"/>
      <x:c r="H254" s="29" t="str">
        <x:v>EVT-003, MSG-001</x:v>
      </x:c>
      <x:c r="I254" s="39" t="str">
        <x:v>Not started</x:v>
      </x:c>
      <x:c r="J254" s="33" t="n">
        <x:f>IF(AND(I254="Done",N254&lt;&gt;""),1,0)</x:f>
        <x:v>0</x:v>
      </x:c>
      <x:c r="K254" s="29" t="str">
        <x:v>Dashboard-specific provider/business verification is completed and recorded before public onboarding.</x:v>
      </x:c>
      <x:c r="L254" s="29" t="str">
        <x:v>tests/; docs/evidence/ (proposed)</x:v>
      </x:c>
      <x:c r="M254" s="29" t="str">
        <x:v>AT-QAT-007</x:v>
      </x:c>
      <x:c r="N254" s="39"/>
      <x:c r="O254" s="41"/>
      <x:c r="P254" s="43"/>
      <x:c r="Q254" s="43"/>
      <x:c r="R254" s="29" t="str">
        <x:v>S02-S13</x:v>
      </x:c>
      <x:c r="S254" s="39" t="str">
        <x:v>Proposed target paths; no repository implementation inspected. Completion requires linked evidence.</x:v>
      </x:c>
      <x:c r="T254" s="29" t="str">
        <x:f>IF(I254="Done",IF(N254="","MISSING EVIDENCE","Review evidence"),"Pending")</x:f>
        <x:v>Pending</x:v>
      </x:c>
      <x:c r="U254" s="29" t="str">
        <x:f>IF(AND(Q254&lt;&gt;"",Q254&lt;TODAY(),I254&lt;&gt;"Done"),"OVERDUE","")</x:f>
      </x:c>
    </x:row>
    <x:row r="255" ht="74" customHeight="1">
      <x:c r="A255" s="29" t="str">
        <x:v>QAT-008</x:v>
      </x:c>
      <x:c r="B255" s="29" t="str">
        <x:v>Verification and external approvals</x:v>
      </x:c>
      <x:c r="C255" s="29" t="str">
        <x:v>Provider quota and one-app validation</x:v>
      </x:c>
      <x:c r="D255" s="29" t="str">
        <x:v>G1</x:v>
      </x:c>
      <x:c r="E255" s="29" t="str">
        <x:v>P0</x:v>
      </x:c>
      <x:c r="F255" s="29" t="str">
        <x:v>Quality</x:v>
      </x:c>
      <x:c r="G255" s="39"/>
      <x:c r="H255" s="29" t="str">
        <x:v>EVT-003, MSG-001</x:v>
      </x:c>
      <x:c r="I255" s="39" t="str">
        <x:v>Not started</x:v>
      </x:c>
      <x:c r="J255" s="33" t="n">
        <x:f>IF(AND(I255="Done",N255&lt;&gt;""),1,0)</x:f>
        <x:v>0</x:v>
      </x:c>
      <x:c r="K255" s="29" t="str">
        <x:v>Meta confirms allowed app/asset/throughput model; architecture does not bypass limits with app rotation.</x:v>
      </x:c>
      <x:c r="L255" s="29" t="str">
        <x:v>tests/; docs/evidence/ (proposed)</x:v>
      </x:c>
      <x:c r="M255" s="29" t="str">
        <x:v>AT-QAT-008</x:v>
      </x:c>
      <x:c r="N255" s="39"/>
      <x:c r="O255" s="41"/>
      <x:c r="P255" s="43"/>
      <x:c r="Q255" s="43"/>
      <x:c r="R255" s="29" t="str">
        <x:v>S02-S13</x:v>
      </x:c>
      <x:c r="S255" s="39" t="str">
        <x:v>Proposed target paths; no repository implementation inspected. Completion requires linked evidence.</x:v>
      </x:c>
      <x:c r="T255" s="29" t="str">
        <x:f>IF(I255="Done",IF(N255="","MISSING EVIDENCE","Review evidence"),"Pending")</x:f>
        <x:v>Pending</x:v>
      </x:c>
      <x:c r="U255" s="29" t="str">
        <x:f>IF(AND(Q255&lt;&gt;"",Q255&lt;TODAY(),I255&lt;&gt;"Done"),"OVERDUE","")</x:f>
      </x:c>
    </x:row>
    <x:row r="256" ht="74" customHeight="1">
      <x:c r="A256" s="29" t="str">
        <x:v>QAT-009</x:v>
      </x:c>
      <x:c r="B256" s="29" t="str">
        <x:v>Verification and external approvals</x:v>
      </x:c>
      <x:c r="C256" s="29" t="str">
        <x:v>Calling and advanced-feature approval</x:v>
      </x:c>
      <x:c r="D256" s="29" t="str">
        <x:v>G3</x:v>
      </x:c>
      <x:c r="E256" s="29" t="str">
        <x:v>P1</x:v>
      </x:c>
      <x:c r="F256" s="29" t="str">
        <x:v>Quality</x:v>
      </x:c>
      <x:c r="G256" s="39"/>
      <x:c r="H256" s="29" t="str">
        <x:v>EVT-003, MSG-001, VOC-001</x:v>
      </x:c>
      <x:c r="I256" s="39" t="str">
        <x:v>Not started</x:v>
      </x:c>
      <x:c r="J256" s="33" t="n">
        <x:f>IF(AND(I256="Done",N256&lt;&gt;""),1,0)</x:f>
        <x:v>0</x:v>
      </x:c>
      <x:c r="K256" s="29" t="str">
        <x:v>Conditional Meta/Telegram operations enabled only after actual eligibility/permission tests.</x:v>
      </x:c>
      <x:c r="L256" s="29" t="str">
        <x:v>tests/; docs/evidence/ (proposed)</x:v>
      </x:c>
      <x:c r="M256" s="29" t="str">
        <x:v>AT-QAT-009</x:v>
      </x:c>
      <x:c r="N256" s="39"/>
      <x:c r="O256" s="41"/>
      <x:c r="P256" s="43"/>
      <x:c r="Q256" s="43"/>
      <x:c r="R256" s="29" t="str">
        <x:v>S02-S13</x:v>
      </x:c>
      <x:c r="S256" s="39" t="str">
        <x:v>Proposed target paths; no repository implementation inspected. Completion requires linked evidence.</x:v>
      </x:c>
      <x:c r="T256" s="29" t="str">
        <x:f>IF(I256="Done",IF(N256="","MISSING EVIDENCE","Review evidence"),"Pending")</x:f>
        <x:v>Pending</x:v>
      </x:c>
      <x:c r="U256" s="29" t="str">
        <x:f>IF(AND(Q256&lt;&gt;"",Q256&lt;TODAY(),I256&lt;&gt;"Done"),"OVERDUE","")</x:f>
      </x:c>
    </x:row>
    <x:row r="257" ht="74" customHeight="1">
      <x:c r="A257" s="29" t="str">
        <x:v>QAT-010</x:v>
      </x:c>
      <x:c r="B257" s="29" t="str">
        <x:v>Verification and external approvals</x:v>
      </x:c>
      <x:c r="C257" s="29" t="str">
        <x:v>Disaster recovery acceptance</x:v>
      </x:c>
      <x:c r="D257" s="29" t="str">
        <x:v>G2</x:v>
      </x:c>
      <x:c r="E257" s="29" t="str">
        <x:v>P1</x:v>
      </x:c>
      <x:c r="F257" s="29" t="str">
        <x:v>Quality</x:v>
      </x:c>
      <x:c r="G257" s="39"/>
      <x:c r="H257" s="29" t="str">
        <x:v>EVT-003, MSG-001, OPS-008</x:v>
      </x:c>
      <x:c r="I257" s="39" t="str">
        <x:v>Not started</x:v>
      </x:c>
      <x:c r="J257" s="33" t="n">
        <x:f>IF(AND(I257="Done",N257&lt;&gt;""),1,0)</x:f>
        <x:v>0</x:v>
      </x:c>
      <x:c r="K257" s="29" t="str">
        <x:v>Measured RPO/RTO and incomplete-send handling meet advertised tier before sales commitments.</x:v>
      </x:c>
      <x:c r="L257" s="29" t="str">
        <x:v>tests/; docs/evidence/ (proposed)</x:v>
      </x:c>
      <x:c r="M257" s="29" t="str">
        <x:v>AT-QAT-010</x:v>
      </x:c>
      <x:c r="N257" s="39"/>
      <x:c r="O257" s="41"/>
      <x:c r="P257" s="43"/>
      <x:c r="Q257" s="43"/>
      <x:c r="R257" s="29" t="str">
        <x:v>S02-S13</x:v>
      </x:c>
      <x:c r="S257" s="39" t="str">
        <x:v>Proposed target paths; no repository implementation inspected. Completion requires linked evidence.</x:v>
      </x:c>
      <x:c r="T257" s="29" t="str">
        <x:f>IF(I257="Done",IF(N257="","MISSING EVIDENCE","Review evidence"),"Pending")</x:f>
        <x:v>Pending</x:v>
      </x:c>
      <x:c r="U257" s="29" t="str">
        <x:f>IF(AND(Q257&lt;&gt;"",Q257&lt;TODAY(),I257&lt;&gt;"Done"),"OVERDUE","")</x:f>
      </x:c>
    </x:row>
    <x:row r="258" ht="74" customHeight="1">
      <x:c r="A258" s="29" t="str">
        <x:v>QAT-011</x:v>
      </x:c>
      <x:c r="B258" s="29" t="str">
        <x:v>Verification and external approvals</x:v>
      </x:c>
      <x:c r="C258" s="29" t="str">
        <x:v>Commercial launch readiness</x:v>
      </x:c>
      <x:c r="D258" s="29" t="str">
        <x:v>G1</x:v>
      </x:c>
      <x:c r="E258" s="29" t="str">
        <x:v>P0</x:v>
      </x:c>
      <x:c r="F258" s="29" t="str">
        <x:v>Quality</x:v>
      </x:c>
      <x:c r="G258" s="39"/>
      <x:c r="H258" s="29" t="str">
        <x:v>EVT-003, MSG-001</x:v>
      </x:c>
      <x:c r="I258" s="39" t="str">
        <x:v>Not started</x:v>
      </x:c>
      <x:c r="J258" s="33" t="n">
        <x:f>IF(AND(I258="Done",N258&lt;&gt;""),1,0)</x:f>
        <x:v>0</x:v>
      </x:c>
      <x:c r="K258" s="29" t="str">
        <x:v>Support, policy pages, onboarding recovery, billing accuracy and no-critical-defect gates pass.</x:v>
      </x:c>
      <x:c r="L258" s="29" t="str">
        <x:v>tests/; docs/evidence/ (proposed)</x:v>
      </x:c>
      <x:c r="M258" s="29" t="str">
        <x:v>AT-QAT-011</x:v>
      </x:c>
      <x:c r="N258" s="39"/>
      <x:c r="O258" s="41"/>
      <x:c r="P258" s="43"/>
      <x:c r="Q258" s="43"/>
      <x:c r="R258" s="29" t="str">
        <x:v>S02-S13</x:v>
      </x:c>
      <x:c r="S258" s="39" t="str">
        <x:v>Proposed target paths; no repository implementation inspected. Completion requires linked evidence.</x:v>
      </x:c>
      <x:c r="T258" s="29" t="str">
        <x:f>IF(I258="Done",IF(N258="","MISSING EVIDENCE","Review evidence"),"Pending")</x:f>
        <x:v>Pending</x:v>
      </x:c>
      <x:c r="U258" s="29" t="str">
        <x:f>IF(AND(Q258&lt;&gt;"",Q258&lt;TODAY(),I258&lt;&gt;"Done"),"OVERDUE","")</x:f>
      </x:c>
    </x:row>
    <x:row r="259" ht="74" customHeight="1">
      <x:c r="A259" s="29" t="str">
        <x:v>QAT-012</x:v>
      </x:c>
      <x:c r="B259" s="29" t="str">
        <x:v>Verification and external approvals</x:v>
      </x:c>
      <x:c r="C259" s="29" t="str">
        <x:v>Competitive and claim review</x:v>
      </x:c>
      <x:c r="D259" s="29" t="str">
        <x:v>G1</x:v>
      </x:c>
      <x:c r="E259" s="29" t="str">
        <x:v>P0</x:v>
      </x:c>
      <x:c r="F259" s="29" t="str">
        <x:v>Quality</x:v>
      </x:c>
      <x:c r="G259" s="39"/>
      <x:c r="H259" s="29" t="str">
        <x:v>EVT-003, MSG-001</x:v>
      </x:c>
      <x:c r="I259" s="39" t="str">
        <x:v>Not started</x:v>
      </x:c>
      <x:c r="J259" s="33" t="n">
        <x:f>IF(AND(I259="Done",N259&lt;&gt;""),1,0)</x:f>
        <x:v>0</x:v>
      </x:c>
      <x:c r="K259" s="29" t="str">
        <x:v>Marketing avoids guaranteed uniqueness, approval, scale or revenue claims without evidence.</x:v>
      </x:c>
      <x:c r="L259" s="29" t="str">
        <x:v>tests/; docs/evidence/ (proposed)</x:v>
      </x:c>
      <x:c r="M259" s="29" t="str">
        <x:v>AT-QAT-012</x:v>
      </x:c>
      <x:c r="N259" s="39"/>
      <x:c r="O259" s="41"/>
      <x:c r="P259" s="43"/>
      <x:c r="Q259" s="43"/>
      <x:c r="R259" s="29" t="str">
        <x:v>S02-S13</x:v>
      </x:c>
      <x:c r="S259" s="39" t="str">
        <x:v>Proposed target paths; no repository implementation inspected. Completion requires linked evidence.</x:v>
      </x:c>
      <x:c r="T259" s="29" t="str">
        <x:f>IF(I259="Done",IF(N259="","MISSING EVIDENCE","Review evidence"),"Pending")</x:f>
        <x:v>Pending</x:v>
      </x:c>
      <x:c r="U259" s="29" t="str">
        <x:f>IF(AND(Q259&lt;&gt;"",Q259&lt;TODAY(),I259&lt;&gt;"Done"),"OVERDUE","")</x:f>
      </x:c>
    </x:row>
    <x:row r="260" ht="74" customHeight="1">
      <x:c r="A260" s="29" t="str">
        <x:v>ECO-001</x:v>
      </x:c>
      <x:c r="B260" s="29" t="str">
        <x:v>Agency and marketplace</x:v>
      </x:c>
      <x:c r="C260" s="29" t="str">
        <x:v>Agency portfolio console</x:v>
      </x:c>
      <x:c r="D260" s="29" t="str">
        <x:v>G3</x:v>
      </x:c>
      <x:c r="E260" s="29" t="str">
        <x:v>P1</x:v>
      </x:c>
      <x:c r="F260" s="29" t="str">
        <x:v>Ecosystem</x:v>
      </x:c>
      <x:c r="G260" s="39"/>
      <x:c r="H260" s="29" t="str">
        <x:v>PLT-009, BIL-003</x:v>
      </x:c>
      <x:c r="I260" s="39" t="str">
        <x:v>Not started</x:v>
      </x:c>
      <x:c r="J260" s="33" t="n">
        <x:f>IF(AND(I260="Done",N260&lt;&gt;""),1,0)</x:f>
        <x:v>0</x:v>
      </x:c>
      <x:c r="K260" s="29" t="str">
        <x:v>Agency sees only delegated tenants with per-client health, provisioning and access controls.</x:v>
      </x:c>
      <x:c r="L260" s="29" t="str">
        <x:v>services/core/ecosystem/ (proposed)</x:v>
      </x:c>
      <x:c r="M260" s="29" t="str">
        <x:v>AT-ECO-001</x:v>
      </x:c>
      <x:c r="N260" s="39"/>
      <x:c r="O260" s="41"/>
      <x:c r="P260" s="43"/>
      <x:c r="Q260" s="43"/>
      <x:c r="R260" s="29" t="str">
        <x:v>S01</x:v>
      </x:c>
      <x:c r="S260" s="39" t="str">
        <x:v>Proposed target paths; no repository implementation inspected. Completion requires linked evidence.</x:v>
      </x:c>
      <x:c r="T260" s="29" t="str">
        <x:f>IF(I260="Done",IF(N260="","MISSING EVIDENCE","Review evidence"),"Pending")</x:f>
        <x:v>Pending</x:v>
      </x:c>
      <x:c r="U260" s="29" t="str">
        <x:f>IF(AND(Q260&lt;&gt;"",Q260&lt;TODAY(),I260&lt;&gt;"Done"),"OVERDUE","")</x:f>
      </x:c>
    </x:row>
    <x:row r="261" ht="74" customHeight="1">
      <x:c r="A261" s="29" t="str">
        <x:v>ECO-002</x:v>
      </x:c>
      <x:c r="B261" s="29" t="str">
        <x:v>Agency and marketplace</x:v>
      </x:c>
      <x:c r="C261" s="29" t="str">
        <x:v>White-label experience</x:v>
      </x:c>
      <x:c r="D261" s="29" t="str">
        <x:v>G3</x:v>
      </x:c>
      <x:c r="E261" s="29" t="str">
        <x:v>P1</x:v>
      </x:c>
      <x:c r="F261" s="29" t="str">
        <x:v>Ecosystem</x:v>
      </x:c>
      <x:c r="G261" s="39"/>
      <x:c r="H261" s="29" t="str">
        <x:v>PLT-009, BIL-003</x:v>
      </x:c>
      <x:c r="I261" s="39" t="str">
        <x:v>Not started</x:v>
      </x:c>
      <x:c r="J261" s="33" t="n">
        <x:f>IF(AND(I261="Done",N261&lt;&gt;""),1,0)</x:f>
        <x:v>0</x:v>
      </x:c>
      <x:c r="K261" s="29" t="str">
        <x:v>Custom domain/branding/email respect provider identity and customer ownership rules.</x:v>
      </x:c>
      <x:c r="L261" s="29" t="str">
        <x:v>services/core/ecosystem/ (proposed)</x:v>
      </x:c>
      <x:c r="M261" s="29" t="str">
        <x:v>AT-ECO-002</x:v>
      </x:c>
      <x:c r="N261" s="39"/>
      <x:c r="O261" s="41"/>
      <x:c r="P261" s="43"/>
      <x:c r="Q261" s="43"/>
      <x:c r="R261" s="29" t="str">
        <x:v>S01</x:v>
      </x:c>
      <x:c r="S261" s="39" t="str">
        <x:v>Proposed target paths; no repository implementation inspected. Completion requires linked evidence.</x:v>
      </x:c>
      <x:c r="T261" s="29" t="str">
        <x:f>IF(I261="Done",IF(N261="","MISSING EVIDENCE","Review evidence"),"Pending")</x:f>
        <x:v>Pending</x:v>
      </x:c>
      <x:c r="U261" s="29" t="str">
        <x:f>IF(AND(Q261&lt;&gt;"",Q261&lt;TODAY(),I261&lt;&gt;"Done"),"OVERDUE","")</x:f>
      </x:c>
    </x:row>
    <x:row r="262" ht="74" customHeight="1">
      <x:c r="A262" s="29" t="str">
        <x:v>ECO-003</x:v>
      </x:c>
      <x:c r="B262" s="29" t="str">
        <x:v>Agency and marketplace</x:v>
      </x:c>
      <x:c r="C262" s="29" t="str">
        <x:v>Reseller plans and statements</x:v>
      </x:c>
      <x:c r="D262" s="29" t="str">
        <x:v>G3</x:v>
      </x:c>
      <x:c r="E262" s="29" t="str">
        <x:v>P1</x:v>
      </x:c>
      <x:c r="F262" s="29" t="str">
        <x:v>Ecosystem</x:v>
      </x:c>
      <x:c r="G262" s="39"/>
      <x:c r="H262" s="29" t="str">
        <x:v>PLT-009, BIL-003</x:v>
      </x:c>
      <x:c r="I262" s="39" t="str">
        <x:v>Not started</x:v>
      </x:c>
      <x:c r="J262" s="33" t="n">
        <x:f>IF(AND(I262="Done",N262&lt;&gt;""),1,0)</x:f>
        <x:v>0</x:v>
      </x:c>
      <x:c r="K262" s="29" t="str">
        <x:v>Entitlement, commissions and pass-through billing reconcile without hidden provider claims.</x:v>
      </x:c>
      <x:c r="L262" s="29" t="str">
        <x:v>services/core/ecosystem/ (proposed)</x:v>
      </x:c>
      <x:c r="M262" s="29" t="str">
        <x:v>AT-ECO-003</x:v>
      </x:c>
      <x:c r="N262" s="39"/>
      <x:c r="O262" s="41"/>
      <x:c r="P262" s="43"/>
      <x:c r="Q262" s="43"/>
      <x:c r="R262" s="29" t="str">
        <x:v>S01</x:v>
      </x:c>
      <x:c r="S262" s="39" t="str">
        <x:v>Proposed target paths; no repository implementation inspected. Completion requires linked evidence.</x:v>
      </x:c>
      <x:c r="T262" s="29" t="str">
        <x:f>IF(I262="Done",IF(N262="","MISSING EVIDENCE","Review evidence"),"Pending")</x:f>
        <x:v>Pending</x:v>
      </x:c>
      <x:c r="U262" s="29" t="str">
        <x:f>IF(AND(Q262&lt;&gt;"",Q262&lt;TODAY(),I262&lt;&gt;"Done"),"OVERDUE","")</x:f>
      </x:c>
    </x:row>
    <x:row r="263" ht="74" customHeight="1">
      <x:c r="A263" s="29" t="str">
        <x:v>ECO-004</x:v>
      </x:c>
      <x:c r="B263" s="29" t="str">
        <x:v>Agency and marketplace</x:v>
      </x:c>
      <x:c r="C263" s="29" t="str">
        <x:v>Marketplace packages</x:v>
      </x:c>
      <x:c r="D263" s="29" t="str">
        <x:v>G3</x:v>
      </x:c>
      <x:c r="E263" s="29" t="str">
        <x:v>P1</x:v>
      </x:c>
      <x:c r="F263" s="29" t="str">
        <x:v>Ecosystem</x:v>
      </x:c>
      <x:c r="G263" s="39"/>
      <x:c r="H263" s="29" t="str">
        <x:v>PLT-009, BIL-003</x:v>
      </x:c>
      <x:c r="I263" s="39" t="str">
        <x:v>Not started</x:v>
      </x:c>
      <x:c r="J263" s="33" t="n">
        <x:f>IF(AND(I263="Done",N263&lt;&gt;""),1,0)</x:f>
        <x:v>0</x:v>
      </x:c>
      <x:c r="K263" s="29" t="str">
        <x:v>Mission/workflow/agent/connector/experience/dashboard packages have compatibility and provenance metadata.</x:v>
      </x:c>
      <x:c r="L263" s="29" t="str">
        <x:v>services/core/ecosystem/ (proposed)</x:v>
      </x:c>
      <x:c r="M263" s="29" t="str">
        <x:v>AT-ECO-004</x:v>
      </x:c>
      <x:c r="N263" s="39"/>
      <x:c r="O263" s="41"/>
      <x:c r="P263" s="43"/>
      <x:c r="Q263" s="43"/>
      <x:c r="R263" s="29" t="str">
        <x:v>S01</x:v>
      </x:c>
      <x:c r="S263" s="39" t="str">
        <x:v>Proposed target paths; no repository implementation inspected. Completion requires linked evidence.</x:v>
      </x:c>
      <x:c r="T263" s="29" t="str">
        <x:f>IF(I263="Done",IF(N263="","MISSING EVIDENCE","Review evidence"),"Pending")</x:f>
        <x:v>Pending</x:v>
      </x:c>
      <x:c r="U263" s="29" t="str">
        <x:f>IF(AND(Q263&lt;&gt;"",Q263&lt;TODAY(),I263&lt;&gt;"Done"),"OVERDUE","")</x:f>
      </x:c>
    </x:row>
    <x:row r="264" ht="74" customHeight="1">
      <x:c r="A264" s="29" t="str">
        <x:v>ECO-005</x:v>
      </x:c>
      <x:c r="B264" s="29" t="str">
        <x:v>Agency and marketplace</x:v>
      </x:c>
      <x:c r="C264" s="29" t="str">
        <x:v>Publisher verification and certification</x:v>
      </x:c>
      <x:c r="D264" s="29" t="str">
        <x:v>G3</x:v>
      </x:c>
      <x:c r="E264" s="29" t="str">
        <x:v>P1</x:v>
      </x:c>
      <x:c r="F264" s="29" t="str">
        <x:v>Ecosystem</x:v>
      </x:c>
      <x:c r="G264" s="39"/>
      <x:c r="H264" s="29" t="str">
        <x:v>PLT-009, BIL-003</x:v>
      </x:c>
      <x:c r="I264" s="39" t="str">
        <x:v>Not started</x:v>
      </x:c>
      <x:c r="J264" s="33" t="n">
        <x:f>IF(AND(I264="Done",N264&lt;&gt;""),1,0)</x:f>
        <x:v>0</x:v>
      </x:c>
      <x:c r="K264" s="29" t="str">
        <x:v>Signed packages, permission review, malware tests and takedown path precede listing.</x:v>
      </x:c>
      <x:c r="L264" s="29" t="str">
        <x:v>services/core/ecosystem/ (proposed)</x:v>
      </x:c>
      <x:c r="M264" s="29" t="str">
        <x:v>AT-ECO-005</x:v>
      </x:c>
      <x:c r="N264" s="39"/>
      <x:c r="O264" s="41"/>
      <x:c r="P264" s="43"/>
      <x:c r="Q264" s="43"/>
      <x:c r="R264" s="29" t="str">
        <x:v>S01</x:v>
      </x:c>
      <x:c r="S264" s="39" t="str">
        <x:v>Proposed target paths; no repository implementation inspected. Completion requires linked evidence.</x:v>
      </x:c>
      <x:c r="T264" s="29" t="str">
        <x:f>IF(I264="Done",IF(N264="","MISSING EVIDENCE","Review evidence"),"Pending")</x:f>
        <x:v>Pending</x:v>
      </x:c>
      <x:c r="U264" s="29" t="str">
        <x:f>IF(AND(Q264&lt;&gt;"",Q264&lt;TODAY(),I264&lt;&gt;"Done"),"OVERDUE","")</x:f>
      </x:c>
    </x:row>
    <x:row r="265" ht="74" customHeight="1">
      <x:c r="A265" s="29" t="str">
        <x:v>ECO-006</x:v>
      </x:c>
      <x:c r="B265" s="29" t="str">
        <x:v>Agency and marketplace</x:v>
      </x:c>
      <x:c r="C265" s="29" t="str">
        <x:v>Marketplace revenue sharing</x:v>
      </x:c>
      <x:c r="D265" s="29" t="str">
        <x:v>G3</x:v>
      </x:c>
      <x:c r="E265" s="29" t="str">
        <x:v>P1</x:v>
      </x:c>
      <x:c r="F265" s="29" t="str">
        <x:v>Ecosystem</x:v>
      </x:c>
      <x:c r="G265" s="39"/>
      <x:c r="H265" s="29" t="str">
        <x:v>PLT-009, BIL-003</x:v>
      </x:c>
      <x:c r="I265" s="39" t="str">
        <x:v>Not started</x:v>
      </x:c>
      <x:c r="J265" s="33" t="n">
        <x:f>IF(AND(I265="Done",N265&lt;&gt;""),1,0)</x:f>
        <x:v>0</x:v>
      </x:c>
      <x:c r="K265" s="29" t="str">
        <x:v>Purchases, refunds and publisher settlements balance in the financial ledger.</x:v>
      </x:c>
      <x:c r="L265" s="29" t="str">
        <x:v>services/core/ecosystem/ (proposed)</x:v>
      </x:c>
      <x:c r="M265" s="29" t="str">
        <x:v>AT-ECO-006</x:v>
      </x:c>
      <x:c r="N265" s="39"/>
      <x:c r="O265" s="41"/>
      <x:c r="P265" s="43"/>
      <x:c r="Q265" s="43"/>
      <x:c r="R265" s="29" t="str">
        <x:v>S01</x:v>
      </x:c>
      <x:c r="S265" s="39" t="str">
        <x:v>Proposed target paths; no repository implementation inspected. Completion requires linked evidence.</x:v>
      </x:c>
      <x:c r="T265" s="29" t="str">
        <x:f>IF(I265="Done",IF(N265="","MISSING EVIDENCE","Review evidence"),"Pending")</x:f>
        <x:v>Pending</x:v>
      </x:c>
      <x:c r="U265" s="29" t="str">
        <x:f>IF(AND(Q265&lt;&gt;"",Q265&lt;TODAY(),I265&lt;&gt;"Done"),"OVERDUE","")</x:f>
      </x:c>
    </x:row>
    <x:row r="266" ht="74" customHeight="1">
      <x:c r="A266" s="29" t="str">
        <x:v>ECO-007</x:v>
      </x:c>
      <x:c r="B266" s="29" t="str">
        <x:v>Agency and marketplace</x:v>
      </x:c>
      <x:c r="C266" s="29" t="str">
        <x:v>Enterprise dedicated/BYOC deployment</x:v>
      </x:c>
      <x:c r="D266" s="29" t="str">
        <x:v>G3</x:v>
      </x:c>
      <x:c r="E266" s="29" t="str">
        <x:v>P1</x:v>
      </x:c>
      <x:c r="F266" s="29" t="str">
        <x:v>Ecosystem</x:v>
      </x:c>
      <x:c r="G266" s="39"/>
      <x:c r="H266" s="29" t="str">
        <x:v>PLT-009, BIL-003</x:v>
      </x:c>
      <x:c r="I266" s="39" t="str">
        <x:v>Not started</x:v>
      </x:c>
      <x:c r="J266" s="33" t="n">
        <x:f>IF(AND(I266="Done",N266&lt;&gt;""),1,0)</x:f>
        <x:v>0</x:v>
      </x:c>
      <x:c r="K266" s="29" t="str">
        <x:v>Supported data-plane deployment is scoped, upgradeable and never advertised as air-gapped Meta connectivity.</x:v>
      </x:c>
      <x:c r="L266" s="29" t="str">
        <x:v>services/core/ecosystem/ (proposed)</x:v>
      </x:c>
      <x:c r="M266" s="29" t="str">
        <x:v>AT-ECO-007</x:v>
      </x:c>
      <x:c r="N266" s="39"/>
      <x:c r="O266" s="41"/>
      <x:c r="P266" s="43"/>
      <x:c r="Q266" s="43"/>
      <x:c r="R266" s="29" t="str">
        <x:v>S01</x:v>
      </x:c>
      <x:c r="S266" s="39" t="str">
        <x:v>Proposed target paths; no repository implementation inspected. Completion requires linked evidence.</x:v>
      </x:c>
      <x:c r="T266" s="29" t="str">
        <x:f>IF(I266="Done",IF(N266="","MISSING EVIDENCE","Review evidence"),"Pending")</x:f>
        <x:v>Pending</x:v>
      </x:c>
      <x:c r="U266" s="29" t="str">
        <x:f>IF(AND(Q266&lt;&gt;"",Q266&lt;TODAY(),I266&lt;&gt;"Done"),"OVERDUE","")</x:f>
      </x:c>
    </x:row>
    <x:row r="267" ht="74" customHeight="1">
      <x:c r="A267" s="29" t="str">
        <x:v>ECO-008</x:v>
      </x:c>
      <x:c r="B267" s="29" t="str">
        <x:v>Agency and marketplace</x:v>
      </x:c>
      <x:c r="C267" s="29" t="str">
        <x:v>Industry packs and partner enablement</x:v>
      </x:c>
      <x:c r="D267" s="29" t="str">
        <x:v>G3</x:v>
      </x:c>
      <x:c r="E267" s="29" t="str">
        <x:v>P1</x:v>
      </x:c>
      <x:c r="F267" s="29" t="str">
        <x:v>Ecosystem</x:v>
      </x:c>
      <x:c r="G267" s="39"/>
      <x:c r="H267" s="29" t="str">
        <x:v>PLT-009, BIL-003</x:v>
      </x:c>
      <x:c r="I267" s="39" t="str">
        <x:v>Not started</x:v>
      </x:c>
      <x:c r="J267" s="33" t="n">
        <x:f>IF(AND(I267="Done",N267&lt;&gt;""),1,0)</x:f>
        <x:v>0</x:v>
      </x:c>
      <x:c r="K267" s="29" t="str">
        <x:v>Four initial vertical packs include sample data, tests, docs, support and measurable launch outcomes.</x:v>
      </x:c>
      <x:c r="L267" s="29" t="str">
        <x:v>services/core/ecosystem/ (proposed)</x:v>
      </x:c>
      <x:c r="M267" s="29" t="str">
        <x:v>AT-ECO-008</x:v>
      </x:c>
      <x:c r="N267" s="39"/>
      <x:c r="O267" s="41"/>
      <x:c r="P267" s="43"/>
      <x:c r="Q267" s="43"/>
      <x:c r="R267" s="29" t="str">
        <x:v>S01</x:v>
      </x:c>
      <x:c r="S267" s="39" t="str">
        <x:v>Proposed target paths; no repository implementation inspected. Completion requires linked evidence.</x:v>
      </x:c>
      <x:c r="T267" s="29" t="str">
        <x:f>IF(I267="Done",IF(N267="","MISSING EVIDENCE","Review evidence"),"Pending")</x:f>
        <x:v>Pending</x:v>
      </x:c>
      <x:c r="U267" s="29" t="str">
        <x:f>IF(AND(Q267&lt;&gt;"",Q267&lt;TODAY(),I267&lt;&gt;"Done"),"OVERDUE","")</x:f>
      </x:c>
    </x:row>
  </x:sheetData>
  <x:mergeCells>
    <x:mergeCell ref="A1:U1"/>
    <x:mergeCell ref="A2:U2"/>
  </x:mergeCells>
  <x:conditionalFormatting sqref="I6:I267">
    <x:cfRule type="expression" dxfId="0" priority="1">
      <x:formula>$I6="Blocked"</x:formula>
    </x:cfRule>
    <x:cfRule type="expression" dxfId="1" priority="2">
      <x:formula>$I6="Done"</x:formula>
    </x:cfRule>
  </x:conditionalFormatting>
  <x:conditionalFormatting sqref="T6:T267">
    <x:cfRule type="expression" dxfId="2" priority="3">
      <x:formula>$T6="MISSING EVIDENCE"</x:formula>
    </x:cfRule>
  </x:conditionalFormatting>
  <x:conditionalFormatting sqref="U6:U267">
    <x:cfRule type="expression" dxfId="3" priority="4">
      <x:formula>$U6="OVERDUE"</x:formula>
    </x:cfRule>
  </x:conditionalFormatting>
  <x:dataValidations count="3">
    <x:dataValidation type="list" sqref="I6:I267">
      <x:formula1>"Not started,In progress,Blocked,Review,Done"</x:formula1>
    </x:dataValidation>
    <x:dataValidation type="list" sqref="E6:E267">
      <x:formula1>"P0,P1,P2"</x:formula1>
    </x:dataValidation>
    <x:dataValidation type="list" sqref="D6:D267">
      <x:formula1>"G0,G1,G2,G3"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21e61b898345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4" hidden="0" customWidth="1"/>
    <x:col min="3" max="3" width="22" hidden="0" customWidth="1"/>
    <x:col min="4" max="4" width="69" hidden="0" customWidth="1"/>
    <x:col min="5" max="5" width="5" hidden="0" customWidth="1"/>
    <x:col min="6" max="6" width="5" hidden="0" customWidth="1"/>
  </x:cols>
  <x:sheetData>
    <x:row r="1" ht="34" customHeight="1">
      <x:c r="A1" s="4" t="str">
        <x:v>CAPACITY &amp; STORAGE MODEL</x:v>
      </x:c>
      <x:c r="B1" s="4"/>
      <x:c r="C1" s="4"/>
      <x:c r="D1" s="4"/>
      <x:c r="E1" s="4"/>
      <x:c r="F1" s="4"/>
    </x:row>
    <x:row r="2" ht="36" customHeight="1">
      <x:c r="A2" s="11" t="str">
        <x:v>Blue values are editable planning assumptions. Outputs are calculations, not measured capacity or provider authorization.</x:v>
      </x:c>
      <x:c r="B2" s="11"/>
      <x:c r="C2" s="11"/>
      <x:c r="D2" s="11"/>
      <x:c r="E2" s="11"/>
      <x:c r="F2" s="11"/>
    </x:row>
    <x:row r="5" ht="30" customHeight="1">
      <x:c r="A5" s="19" t="str">
        <x:v>Input parameter</x:v>
      </x:c>
      <x:c r="B5" s="19" t="str">
        <x:v>Value</x:v>
      </x:c>
      <x:c r="C5" s="19" t="str">
        <x:v>Units</x:v>
      </x:c>
      <x:c r="D5" s="19" t="str">
        <x:v>Source / meaning</x:v>
      </x:c>
    </x:row>
    <x:row r="6" ht="32" customHeight="1">
      <x:c r="A6" s="63" t="str">
        <x:v>Registered tenants</x:v>
      </x:c>
      <x:c r="B6" s="67" t="n">
        <x:v>10000000</x:v>
      </x:c>
      <x:c r="C6" s="63" t="str">
        <x:v>tenants</x:v>
      </x:c>
      <x:c r="D6" s="63" t="str">
        <x:v>User target; not concurrent active sessions</x:v>
      </x:c>
    </x:row>
    <x:row r="7" ht="32" customHeight="1">
      <x:c r="A7" s="63" t="str">
        <x:v>Logical messages per day</x:v>
      </x:c>
      <x:c r="B7" s="67" t="n">
        <x:v>10000000000</x:v>
      </x:c>
      <x:c r="C7" s="63" t="str">
        <x:v>messages/day</x:v>
      </x:c>
      <x:c r="D7" s="63" t="str">
        <x:v>User target; excludes receipts and retries</x:v>
      </x:c>
    </x:row>
    <x:row r="8" ht="32" customHeight="1">
      <x:c r="A8" s="63" t="str">
        <x:v>Seconds per day</x:v>
      </x:c>
      <x:c r="B8" s="67" t="n">
        <x:v>86400</x:v>
      </x:c>
      <x:c r="C8" s="63" t="str">
        <x:v>seconds</x:v>
      </x:c>
      <x:c r="D8" s="63" t="str">
        <x:v>Arithmetic constant</x:v>
      </x:c>
    </x:row>
    <x:row r="9" ht="32" customHeight="1">
      <x:c r="A9" s="63" t="str">
        <x:v>Peak-to-average factor</x:v>
      </x:c>
      <x:c r="B9" s="67" t="n">
        <x:v>10</x:v>
      </x:c>
      <x:c r="C9" s="63" t="str">
        <x:v>factor</x:v>
      </x:c>
      <x:c r="D9" s="63" t="str">
        <x:v>Planning assumption; replace using measured demand</x:v>
      </x:c>
    </x:row>
    <x:row r="10" ht="32" customHeight="1">
      <x:c r="A10" s="63" t="str">
        <x:v>Events per logical message</x:v>
      </x:c>
      <x:c r="B10" s="67" t="n">
        <x:v>4</x:v>
      </x:c>
      <x:c r="C10" s="63" t="str">
        <x:v>events/message</x:v>
      </x:c>
      <x:c r="D10" s="63" t="str">
        <x:v>Combined event model, not provider guarantee</x:v>
      </x:c>
    </x:row>
    <x:row r="11" ht="32" customHeight="1">
      <x:c r="A11" s="63" t="str">
        <x:v>Retry / duplicate allowance</x:v>
      </x:c>
      <x:c r="B11" s="69" t="n">
        <x:v>0.1</x:v>
      </x:c>
      <x:c r="C11" s="63" t="str">
        <x:v>fraction</x:v>
      </x:c>
      <x:c r="D11" s="63" t="str">
        <x:v>Extra transported events</x:v>
      </x:c>
    </x:row>
    <x:row r="12" ht="32" customHeight="1">
      <x:c r="A12" s="63" t="str">
        <x:v>Canonical event size</x:v>
      </x:c>
      <x:c r="B12" s="67" t="n">
        <x:v>1024</x:v>
      </x:c>
      <x:c r="C12" s="63" t="str">
        <x:v>bytes</x:v>
      </x:c>
      <x:c r="D12" s="63" t="str">
        <x:v>Mean excluding media; p95/p99 sizes also required</x:v>
      </x:c>
    </x:row>
    <x:row r="13" ht="32" customHeight="1">
      <x:c r="A13" s="63" t="str">
        <x:v>Topic copy factor</x:v>
      </x:c>
      <x:c r="B13" s="67" t="n">
        <x:v>2</x:v>
      </x:c>
      <x:c r="C13" s="63" t="str">
        <x:v>copies</x:v>
      </x:c>
      <x:c r="D13" s="63" t="str">
        <x:v>Raw / canonical / derived aggregate copy allowance</x:v>
      </x:c>
    </x:row>
    <x:row r="14" ht="32" customHeight="1">
      <x:c r="A14" s="63" t="str">
        <x:v>Compressed/original ratio</x:v>
      </x:c>
      <x:c r="B14" s="69" t="n">
        <x:v>0.5</x:v>
      </x:c>
      <x:c r="C14" s="63" t="str">
        <x:v>fraction</x:v>
      </x:c>
      <x:c r="D14" s="63" t="str">
        <x:v>Must be benchmarked on real payload shapes</x:v>
      </x:c>
    </x:row>
    <x:row r="15" ht="32" customHeight="1">
      <x:c r="A15" s="63" t="str">
        <x:v>Kafka replication factor</x:v>
      </x:c>
      <x:c r="B15" s="67" t="n">
        <x:v>3</x:v>
      </x:c>
      <x:c r="C15" s="63" t="str">
        <x:v>replicas</x:v>
      </x:c>
      <x:c r="D15" s="63" t="str">
        <x:v>In-region replicas; not regional DR</x:v>
      </x:c>
    </x:row>
    <x:row r="16" ht="32" customHeight="1">
      <x:c r="A16" s="63" t="str">
        <x:v>Kafka retention</x:v>
      </x:c>
      <x:c r="B16" s="67" t="n">
        <x:v>2</x:v>
      </x:c>
      <x:c r="C16" s="63" t="str">
        <x:v>days</x:v>
      </x:c>
      <x:c r="D16" s="63" t="str">
        <x:v>Separate from archive retention</x:v>
      </x:c>
    </x:row>
    <x:row r="17" ht="32" customHeight="1">
      <x:c r="A17" s="63" t="str">
        <x:v>Maximum planned utilization</x:v>
      </x:c>
      <x:c r="B17" s="69" t="n">
        <x:v>0.6</x:v>
      </x:c>
      <x:c r="C17" s="63" t="str">
        <x:v>fraction</x:v>
      </x:c>
      <x:c r="D17" s="63" t="str">
        <x:v>Reserved headroom; does not prove performance</x:v>
      </x:c>
    </x:row>
    <x:row r="18" ht="32" customHeight="1">
      <x:c r="A18" s="63" t="str">
        <x:v>Message record size</x:v>
      </x:c>
      <x:c r="B18" s="67" t="n">
        <x:v>4096</x:v>
      </x:c>
      <x:c r="C18" s="63" t="str">
        <x:v>bytes</x:v>
      </x:c>
      <x:c r="D18" s="63" t="str">
        <x:v>Before indexes, transactions and backups</x:v>
      </x:c>
    </x:row>
    <x:row r="19" ht="32" customHeight="1">
      <x:c r="A19" s="63" t="str">
        <x:v>Hot message retention</x:v>
      </x:c>
      <x:c r="B19" s="67" t="n">
        <x:v>7</x:v>
      </x:c>
      <x:c r="C19" s="63" t="str">
        <x:v>days</x:v>
      </x:c>
      <x:c r="D19" s="63" t="str">
        <x:v>Sizing assumption; privacy/contract controls apply</x:v>
      </x:c>
    </x:row>
    <x:row r="20" ht="32" customHeight="1">
      <x:c r="A20" s="63" t="str">
        <x:v>Message archive retention</x:v>
      </x:c>
      <x:c r="B20" s="67" t="n">
        <x:v>30</x:v>
      </x:c>
      <x:c r="C20" s="63" t="str">
        <x:v>days</x:v>
      </x:c>
      <x:c r="D20" s="63" t="str">
        <x:v>Sizing assumption; not universal legal requirement</x:v>
      </x:c>
    </x:row>
    <x:row r="21" ht="32" customHeight="1">
      <x:c r="A21" s="63" t="str">
        <x:v>Media message fraction</x:v>
      </x:c>
      <x:c r="B21" s="69" t="n">
        <x:v>0.05</x:v>
      </x:c>
      <x:c r="C21" s="63" t="str">
        <x:v>fraction</x:v>
      </x:c>
      <x:c r="D21" s="63" t="str">
        <x:v>Sizing assumption</x:v>
      </x:c>
    </x:row>
    <x:row r="22" ht="32" customHeight="1">
      <x:c r="A22" s="63" t="str">
        <x:v>Mean media bytes</x:v>
      </x:c>
      <x:c r="B22" s="67" t="n">
        <x:v>524288</x:v>
      </x:c>
      <x:c r="C22" s="63" t="str">
        <x:v>bytes</x:v>
      </x:c>
      <x:c r="D22" s="63" t="str">
        <x:v>512 KiB mean assumption</x:v>
      </x:c>
    </x:row>
    <x:row r="23" ht="32" customHeight="1">
      <x:c r="A23" s="63" t="str">
        <x:v>Media hot retention</x:v>
      </x:c>
      <x:c r="B23" s="67" t="n">
        <x:v>7</x:v>
      </x:c>
      <x:c r="C23" s="63" t="str">
        <x:v>days</x:v>
      </x:c>
      <x:c r="D23" s="63" t="str">
        <x:v>Separate media retention input</x:v>
      </x:c>
    </x:row>
    <x:row r="24" ht="32" customHeight="1">
      <x:c r="A24" s="63" t="str">
        <x:v>AI selection fraction</x:v>
      </x:c>
      <x:c r="B24" s="69" t="n">
        <x:v>0.05</x:v>
      </x:c>
      <x:c r="C24" s="63" t="str">
        <x:v>fraction</x:v>
      </x:c>
      <x:c r="D24" s="63" t="str">
        <x:v>Selected logical messages using AI</x:v>
      </x:c>
    </x:row>
    <x:row r="25" ht="32" customHeight="1">
      <x:c r="A25" s="63" t="str">
        <x:v>AI calls per selected message</x:v>
      </x:c>
      <x:c r="B25" s="67" t="n">
        <x:v>1</x:v>
      </x:c>
      <x:c r="C25" s="63" t="str">
        <x:v>calls</x:v>
      </x:c>
      <x:c r="D25" s="63" t="str">
        <x:v>Keep bounded; tools/retries require own budget</x:v>
      </x:c>
    </x:row>
    <x:row r="26" ht="32" customHeight="1">
      <x:c r="A26" s="63" t="str">
        <x:v>AI input tokens per call</x:v>
      </x:c>
      <x:c r="B26" s="67" t="n">
        <x:v>800</x:v>
      </x:c>
      <x:c r="C26" s="63" t="str">
        <x:v>tokens</x:v>
      </x:c>
      <x:c r="D26" s="63" t="str">
        <x:v>Mean assumption</x:v>
      </x:c>
    </x:row>
    <x:row r="27" ht="32" customHeight="1">
      <x:c r="A27" s="63" t="str">
        <x:v>AI output tokens per call</x:v>
      </x:c>
      <x:c r="B27" s="67" t="n">
        <x:v>200</x:v>
      </x:c>
      <x:c r="C27" s="63" t="str">
        <x:v>tokens</x:v>
      </x:c>
      <x:c r="D27" s="63" t="str">
        <x:v>Mean assumption</x:v>
      </x:c>
    </x:row>
    <x:row r="28" ht="32" customHeight="1">
      <x:c r="A28" s="63" t="str">
        <x:v>Workflow-start fraction</x:v>
      </x:c>
      <x:c r="B28" s="69" t="n">
        <x:v>0.02</x:v>
      </x:c>
      <x:c r="C28" s="63" t="str">
        <x:v>fraction</x:v>
      </x:c>
      <x:c r="D28" s="63" t="str">
        <x:v>Not every event creates a Temporal workflow</x:v>
      </x:c>
    </x:row>
    <x:row r="29" ht="32" customHeight="1">
      <x:c r="A29" s="63" t="str">
        <x:v>Tenants per cell target</x:v>
      </x:c>
      <x:c r="B29" s="67" t="n">
        <x:v>50000</x:v>
      </x:c>
      <x:c r="C29" s="63" t="str">
        <x:v>tenants/cell</x:v>
      </x:c>
      <x:c r="D29" s="63" t="str">
        <x:v>Qualification target; not benchmark evidence</x:v>
      </x:c>
    </x:row>
    <x:row r="30" ht="32" customHeight="1">
      <x:c r="A30" s="63" t="str">
        <x:v>Events/second per cell target</x:v>
      </x:c>
      <x:c r="B30" s="67" t="n">
        <x:v>50000</x:v>
      </x:c>
      <x:c r="C30" s="63" t="str">
        <x:v>events/s/cell</x:v>
      </x:c>
      <x:c r="D30" s="63" t="str">
        <x:v>Qualification target before reserved headroom</x:v>
      </x:c>
    </x:row>
    <x:row r="31" ht="32" customHeight="1">
      <x:c r="A31" s="63" t="str">
        <x:v>Reference cell fleet</x:v>
      </x:c>
      <x:c r="B31" s="67" t="n">
        <x:v>256</x:v>
      </x:c>
      <x:c r="C31" s="63" t="str">
        <x:v>cells</x:v>
      </x:c>
      <x:c r="D31" s="63" t="str">
        <x:v>Illustrative scale topology, not purchase order</x:v>
      </x:c>
    </x:row>
    <x:row r="32" ht="32" customHeight="1">
      <x:c r="A32" s="63" t="str">
        <x:v>Bytes per decimal TB</x:v>
      </x:c>
      <x:c r="B32" s="67" t="n">
        <x:v>1000000000000</x:v>
      </x:c>
      <x:c r="C32" s="63" t="str">
        <x:v>bytes/TB</x:v>
      </x:c>
      <x:c r="D32" s="63" t="str">
        <x:v>Decimal display conversion</x:v>
      </x:c>
    </x:row>
    <x:row r="33" ht="32" customHeight="1">
      <x:c r="A33" s="63" t="str">
        <x:v>Bytes per decimal PB</x:v>
      </x:c>
      <x:c r="B33" s="67" t="n">
        <x:v>1000000000000000</x:v>
      </x:c>
      <x:c r="C33" s="63" t="str">
        <x:v>bytes/PB</x:v>
      </x:c>
      <x:c r="D33" s="63" t="str">
        <x:v>Decimal display conversion</x:v>
      </x:c>
    </x:row>
    <x:row r="36" ht="30" customHeight="1">
      <x:c r="A36" s="19" t="str">
        <x:v>Calculated output</x:v>
      </x:c>
      <x:c r="B36" s="19" t="str">
        <x:v>Value</x:v>
      </x:c>
      <x:c r="C36" s="19" t="str">
        <x:v>Units</x:v>
      </x:c>
      <x:c r="D36" s="19" t="str">
        <x:v>Formula interpretation</x:v>
      </x:c>
    </x:row>
    <x:row r="37" ht="34" customHeight="1">
      <x:c r="A37" s="63" t="str">
        <x:v>Average logical messages/second</x:v>
      </x:c>
      <x:c r="B37" s="71" t="n">
        <x:f>B7/B8</x:f>
        <x:v>115740.74074074074</x:v>
      </x:c>
      <x:c r="C37" s="63" t="str">
        <x:v>messages/s</x:v>
      </x:c>
      <x:c r="D37" s="63" t="str">
        <x:v>Daily logical messages / seconds</x:v>
      </x:c>
    </x:row>
    <x:row r="38" ht="34" customHeight="1">
      <x:c r="A38" s="63" t="str">
        <x:v>Peak logical messages/second</x:v>
      </x:c>
      <x:c r="B38" s="71" t="n">
        <x:f>B37*B9</x:f>
        <x:v>1157407.4074074074</x:v>
      </x:c>
      <x:c r="C38" s="63" t="str">
        <x:v>messages/s</x:v>
      </x:c>
      <x:c r="D38" s="63" t="str">
        <x:v>Average × assumed peak factor</x:v>
      </x:c>
    </x:row>
    <x:row r="39" ht="34" customHeight="1">
      <x:c r="A39" s="63" t="str">
        <x:v>Transported canonical events/day</x:v>
      </x:c>
      <x:c r="B39" s="71" t="n">
        <x:f>B7*B10*(1+B11)</x:f>
        <x:v>44000000000</x:v>
      </x:c>
      <x:c r="C39" s="63" t="str">
        <x:v>events/day</x:v>
      </x:c>
      <x:c r="D39" s="63" t="str">
        <x:v>Message count × event amplification × retries</x:v>
      </x:c>
    </x:row>
    <x:row r="40" ht="34" customHeight="1">
      <x:c r="A40" s="63" t="str">
        <x:v>Average events/second</x:v>
      </x:c>
      <x:c r="B40" s="71" t="n">
        <x:f>B39/B8</x:f>
        <x:v>509259.25925925927</x:v>
      </x:c>
      <x:c r="C40" s="63" t="str">
        <x:v>events/s</x:v>
      </x:c>
      <x:c r="D40" s="63" t="str">
        <x:v>Transported canonical events/day / seconds</x:v>
      </x:c>
    </x:row>
    <x:row r="41" ht="34" customHeight="1">
      <x:c r="A41" s="63" t="str">
        <x:v>Peak events/second</x:v>
      </x:c>
      <x:c r="B41" s="71" t="n">
        <x:f>B40*B9</x:f>
        <x:v>5092592.592592592</x:v>
      </x:c>
      <x:c r="C41" s="63" t="str">
        <x:v>events/s</x:v>
      </x:c>
      <x:c r="D41" s="63" t="str">
        <x:v>Average event rate × peak</x:v>
      </x:c>
    </x:row>
    <x:row r="42" ht="34" customHeight="1">
      <x:c r="A42" s="63" t="str">
        <x:v>Canonical original data/day</x:v>
      </x:c>
      <x:c r="B42" s="71" t="n">
        <x:f>B39*B12/B32</x:f>
        <x:v>45.056</x:v>
      </x:c>
      <x:c r="C42" s="63" t="str">
        <x:v>TB/day</x:v>
      </x:c>
      <x:c r="D42" s="63" t="str">
        <x:v>Before compression, topic copies or replicas</x:v>
      </x:c>
    </x:row>
    <x:row r="43" ht="34" customHeight="1">
      <x:c r="A43" s="63" t="str">
        <x:v>Kafka storage at planned utilization</x:v>
      </x:c>
      <x:c r="B43" s="71" t="n">
        <x:f>B42*B13*B14*B15*B16/B17</x:f>
        <x:v>450.56000000000006</x:v>
      </x:c>
      <x:c r="C43" s="63" t="str">
        <x:v>TB</x:v>
      </x:c>
      <x:c r="D43" s="63" t="str">
        <x:v>Copies × compression × replicas × days / utilization</x:v>
      </x:c>
    </x:row>
    <x:row r="44" ht="34" customHeight="1">
      <x:c r="A44" s="63" t="str">
        <x:v>Primary message bytes/day</x:v>
      </x:c>
      <x:c r="B44" s="71" t="n">
        <x:f>B7*B18/B32</x:f>
        <x:v>40.96</x:v>
      </x:c>
      <x:c r="C44" s="63" t="str">
        <x:v>TB/day</x:v>
      </x:c>
      <x:c r="D44" s="63" t="str">
        <x:v>Message records only; excludes indexes/replicas</x:v>
      </x:c>
    </x:row>
    <x:row r="45" ht="34" customHeight="1">
      <x:c r="A45" s="63" t="str">
        <x:v>Hot message record storage</x:v>
      </x:c>
      <x:c r="B45" s="71" t="n">
        <x:f>B44*B19</x:f>
        <x:v>286.72</x:v>
      </x:c>
      <x:c r="C45" s="63" t="str">
        <x:v>TB</x:v>
      </x:c>
      <x:c r="D45" s="63" t="str">
        <x:v>Primary records × hot retention</x:v>
      </x:c>
    </x:row>
    <x:row r="46" ht="34" customHeight="1">
      <x:c r="A46" s="63" t="str">
        <x:v>Archive message storage</x:v>
      </x:c>
      <x:c r="B46" s="71" t="n">
        <x:f>B7*B18*B20/B33</x:f>
        <x:v>1.2288</x:v>
      </x:c>
      <x:c r="C46" s="63" t="str">
        <x:v>PB</x:v>
      </x:c>
      <x:c r="D46" s="63" t="str">
        <x:v>Uncompressed message records × archive days</x:v>
      </x:c>
    </x:row>
    <x:row r="47" ht="34" customHeight="1">
      <x:c r="A47" s="63" t="str">
        <x:v>Media bytes/day</x:v>
      </x:c>
      <x:c r="B47" s="71" t="n">
        <x:f>B7*B21*B22/B32</x:f>
        <x:v>262.144</x:v>
      </x:c>
      <x:c r="C47" s="63" t="str">
        <x:v>TB/day</x:v>
      </x:c>
      <x:c r="D47" s="63" t="str">
        <x:v>Media fraction × mean size</x:v>
      </x:c>
    </x:row>
    <x:row r="48" ht="34" customHeight="1">
      <x:c r="A48" s="63" t="str">
        <x:v>Hot media storage</x:v>
      </x:c>
      <x:c r="B48" s="71" t="n">
        <x:f>B47*B23*B32/B33</x:f>
        <x:v>1.835008</x:v>
      </x:c>
      <x:c r="C48" s="63" t="str">
        <x:v>PB</x:v>
      </x:c>
      <x:c r="D48" s="63" t="str">
        <x:v>Media bytes × retention</x:v>
      </x:c>
    </x:row>
    <x:row r="49" ht="34" customHeight="1">
      <x:c r="A49" s="63" t="str">
        <x:v>AI calls/day</x:v>
      </x:c>
      <x:c r="B49" s="71" t="n">
        <x:f>B7*B24*B25</x:f>
        <x:v>500000000</x:v>
      </x:c>
      <x:c r="C49" s="63" t="str">
        <x:v>calls/day</x:v>
      </x:c>
      <x:c r="D49" s="63" t="str">
        <x:v>Selected messages × calls per selection</x:v>
      </x:c>
    </x:row>
    <x:row r="50" ht="34" customHeight="1">
      <x:c r="A50" s="63" t="str">
        <x:v>Average AI calls/second</x:v>
      </x:c>
      <x:c r="B50" s="71" t="n">
        <x:f>B49/B8</x:f>
        <x:v>5787.037037037037</x:v>
      </x:c>
      <x:c r="C50" s="63" t="str">
        <x:v>calls/s</x:v>
      </x:c>
      <x:c r="D50" s="63" t="str">
        <x:v>Daily calls / seconds</x:v>
      </x:c>
    </x:row>
    <x:row r="51" ht="34" customHeight="1">
      <x:c r="A51" s="63" t="str">
        <x:v>Peak AI calls/second</x:v>
      </x:c>
      <x:c r="B51" s="71" t="n">
        <x:f>B50*B9</x:f>
        <x:v>57870.37037037037</x:v>
      </x:c>
      <x:c r="C51" s="63" t="str">
        <x:v>calls/s</x:v>
      </x:c>
      <x:c r="D51" s="63" t="str">
        <x:v>Average calls × peak</x:v>
      </x:c>
    </x:row>
    <x:row r="52" ht="34" customHeight="1">
      <x:c r="A52" s="63" t="str">
        <x:v>AI input tokens/day</x:v>
      </x:c>
      <x:c r="B52" s="71" t="n">
        <x:f>B49*B26</x:f>
        <x:v>400000000000</x:v>
      </x:c>
      <x:c r="C52" s="63" t="str">
        <x:v>tokens/day</x:v>
      </x:c>
      <x:c r="D52" s="63" t="str">
        <x:v>Daily calls × input tokens</x:v>
      </x:c>
    </x:row>
    <x:row r="53" ht="34" customHeight="1">
      <x:c r="A53" s="63" t="str">
        <x:v>AI output tokens/day</x:v>
      </x:c>
      <x:c r="B53" s="71" t="n">
        <x:f>B49*B27</x:f>
        <x:v>100000000000</x:v>
      </x:c>
      <x:c r="C53" s="63" t="str">
        <x:v>tokens/day</x:v>
      </x:c>
      <x:c r="D53" s="63" t="str">
        <x:v>Daily calls × output tokens</x:v>
      </x:c>
    </x:row>
    <x:row r="54" ht="34" customHeight="1">
      <x:c r="A54" s="63" t="str">
        <x:v>Workflow starts/day</x:v>
      </x:c>
      <x:c r="B54" s="71" t="n">
        <x:f>B7*B28</x:f>
        <x:v>200000000</x:v>
      </x:c>
      <x:c r="C54" s="63" t="str">
        <x:v>starts/day</x:v>
      </x:c>
      <x:c r="D54" s="63" t="str">
        <x:v>Logical messages × selected-start fraction</x:v>
      </x:c>
    </x:row>
    <x:row r="55" ht="34" customHeight="1">
      <x:c r="A55" s="63" t="str">
        <x:v>Average workflow starts/second</x:v>
      </x:c>
      <x:c r="B55" s="71" t="n">
        <x:f>B54/B8</x:f>
        <x:v>2314.814814814815</x:v>
      </x:c>
      <x:c r="C55" s="63" t="str">
        <x:v>starts/s</x:v>
      </x:c>
      <x:c r="D55" s="63" t="str">
        <x:v>Daily starts / seconds</x:v>
      </x:c>
    </x:row>
    <x:row r="56" ht="34" customHeight="1">
      <x:c r="A56" s="63" t="str">
        <x:v>Peak workflow starts/second</x:v>
      </x:c>
      <x:c r="B56" s="71" t="n">
        <x:f>B55*B9</x:f>
        <x:v>23148.148148148146</x:v>
      </x:c>
      <x:c r="C56" s="63" t="str">
        <x:v>starts/s</x:v>
      </x:c>
      <x:c r="D56" s="63" t="str">
        <x:v>Average starts × peak</x:v>
      </x:c>
    </x:row>
    <x:row r="57" ht="34" customHeight="1">
      <x:c r="A57" s="63" t="str">
        <x:v>Tenant-count cell lower bound</x:v>
      </x:c>
      <x:c r="B57" s="73" t="n">
        <x:f>ROUNDUP(B6/B29,0)</x:f>
        <x:v>200</x:v>
      </x:c>
      <x:c r="C57" s="63" t="str">
        <x:v>cells</x:v>
      </x:c>
      <x:c r="D57" s="63" t="str">
        <x:v>Only tenancy constraint, no skew</x:v>
      </x:c>
    </x:row>
    <x:row r="58" ht="34" customHeight="1">
      <x:c r="A58" s="63" t="str">
        <x:v>Event-rate cell lower bound</x:v>
      </x:c>
      <x:c r="B58" s="73" t="n">
        <x:f>ROUNDUP(B41/(B30*B17),0)</x:f>
        <x:v>170</x:v>
      </x:c>
      <x:c r="C58" s="63" t="str">
        <x:v>cells</x:v>
      </x:c>
      <x:c r="D58" s="63" t="str">
        <x:v>Only event constraint with utilization headroom</x:v>
      </x:c>
    </x:row>
    <x:row r="59" ht="34" customHeight="1">
      <x:c r="A59" s="63" t="str">
        <x:v>Combined arithmetic lower bound</x:v>
      </x:c>
      <x:c r="B59" s="73" t="n">
        <x:f>MAX(B57,B58)</x:f>
        <x:v>200</x:v>
      </x:c>
      <x:c r="C59" s="63" t="str">
        <x:v>cells</x:v>
      </x:c>
      <x:c r="D59" s="63" t="str">
        <x:v>Other dimensions can require more cells</x:v>
      </x:c>
    </x:row>
    <x:row r="60" ht="34" customHeight="1">
      <x:c r="A60" s="63" t="str">
        <x:v>Reference tenants per cell</x:v>
      </x:c>
      <x:c r="B60" s="71" t="n">
        <x:f>B6/B31</x:f>
        <x:v>39062.5</x:v>
      </x:c>
      <x:c r="C60" s="63" t="str">
        <x:v>tenants/cell</x:v>
      </x:c>
      <x:c r="D60" s="63" t="str">
        <x:v>Equal arithmetic distribution only</x:v>
      </x:c>
    </x:row>
    <x:row r="61" ht="34" customHeight="1">
      <x:c r="A61" s="63" t="str">
        <x:v>Reference peak events per cell</x:v>
      </x:c>
      <x:c r="B61" s="71" t="n">
        <x:f>B41/B31</x:f>
        <x:v>19892.939814814814</x:v>
      </x:c>
      <x:c r="C61" s="63" t="str">
        <x:v>events/s/cell</x:v>
      </x:c>
      <x:c r="D61" s="63" t="str">
        <x:v>Skew not represented</x:v>
      </x:c>
    </x:row>
    <x:row r="62" ht="34" customHeight="1">
      <x:c r="A62" s="63" t="str">
        <x:v>Reference Kafka storage per cell</x:v>
      </x:c>
      <x:c r="B62" s="71" t="n">
        <x:f>B43/B31</x:f>
        <x:v>1.7600000000000002</x:v>
      </x:c>
      <x:c r="C62" s="63" t="str">
        <x:v>TB/cell</x:v>
      </x:c>
      <x:c r="D62" s="63" t="str">
        <x:v>Provisioned storage model divided across fleet</x:v>
      </x:c>
    </x:row>
    <x:row r="63" ht="34" customHeight="1">
      <x:c r="A63" s="63" t="str">
        <x:v>Reference fleet headroom check</x:v>
      </x:c>
      <x:c r="B63" s="63" t="str">
        <x:f>IF(B31&gt;=B59,"Arithmetic check passes","Add cells / change assumptions")</x:f>
        <x:v>Arithmetic check passes</x:v>
      </x:c>
      <x:c r="C63" s="63" t="str">
        <x:v>check</x:v>
      </x:c>
      <x:c r="D63" s="63" t="str">
        <x:v>Not a benchmark certification</x:v>
      </x:c>
    </x:row>
    <x:row r="65">
      <x:c r="A65" s="76" t="str">
        <x:v>Excluded from this arithmetic: provider-specific quotas; per-recipient limits; hot-tenant skew; request batching; index/backup overhead; read fanout; archive compression; cross-region replication; consumer copies; websocket fanout; voice concurrency; GPU capacity; support staffing and actual vendor prices. Each needs separate qualification.</x:v>
      </x:c>
      <x:c r="B65" s="76"/>
      <x:c r="C65" s="76"/>
      <x:c r="D65" s="76"/>
      <x:c r="E65" s="76"/>
      <x:c r="F65" s="76"/>
    </x:row>
    <x:row r="66">
      <x:c r="A66" s="76"/>
      <x:c r="B66" s="76"/>
      <x:c r="C66" s="76"/>
      <x:c r="D66" s="76"/>
      <x:c r="E66" s="76"/>
      <x:c r="F66" s="76"/>
    </x:row>
    <x:row r="67">
      <x:c r="A67" s="76"/>
      <x:c r="B67" s="76"/>
      <x:c r="C67" s="76"/>
      <x:c r="D67" s="76"/>
      <x:c r="E67" s="76"/>
      <x:c r="F67" s="76"/>
    </x:row>
  </x:sheetData>
  <x:mergeCells>
    <x:mergeCell ref="A1:F1"/>
    <x:mergeCell ref="A2:F2"/>
    <x:mergeCell ref="A65:F6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2" hidden="0" customWidth="1"/>
    <x:col min="4" max="4" width="62" hidden="0" customWidth="1"/>
    <x:col min="5" max="5" width="69" hidden="0" customWidth="1"/>
    <x:col min="6" max="6" width="17" hidden="0" customWidth="1"/>
    <x:col min="7" max="7" width="35" hidden="0" customWidth="1"/>
  </x:cols>
  <x:sheetData>
    <x:row r="1" ht="34" customHeight="1">
      <x:c r="A1" s="4" t="str">
        <x:v>RELEASE &amp; SCALE GATES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 release gate is an evidence decision, not a percentage inferred from UI completion.</x:v>
      </x:c>
      <x:c r="B2" s="11"/>
      <x:c r="C2" s="11"/>
      <x:c r="D2" s="11"/>
      <x:c r="E2" s="11"/>
      <x:c r="F2" s="11"/>
      <x:c r="G2" s="11"/>
    </x:row>
    <x:row r="5" ht="30" customHeight="1">
      <x:c r="A5" s="19" t="str">
        <x:v>Gate</x:v>
      </x:c>
      <x:c r="B5" s="19" t="str">
        <x:v>Name</x:v>
      </x:c>
      <x:c r="C5" s="19" t="str">
        <x:v>Accountable roles</x:v>
      </x:c>
      <x:c r="D5" s="19" t="str">
        <x:v>Scope</x:v>
      </x:c>
      <x:c r="E5" s="19" t="str">
        <x:v>Exit evidence</x:v>
      </x:c>
      <x:c r="F5" s="19" t="str">
        <x:v>Status</x:v>
      </x:c>
      <x:c r="G5" s="19" t="str">
        <x:v>Evidence link</x:v>
      </x:c>
    </x:row>
    <x:row r="6" ht="108" customHeight="1">
      <x:c r="A6" s="79" t="str">
        <x:v>G0</x:v>
      </x:c>
      <x:c r="B6" s="79" t="str">
        <x:v>Foundation</x:v>
      </x:c>
      <x:c r="C6" s="79" t="str">
        <x:v>Architecture / Platform / Security</x:v>
      </x:c>
      <x:c r="D6" s="79" t="str">
        <x:v>Isolation, contracts, journals, policy, CI and sandbox baseline</x:v>
      </x:c>
      <x:c r="E6" s="79" t="str">
        <x:v>Critical negative/security/ACK tests; named source-verification owner</x:v>
      </x:c>
      <x:c r="F6" s="81" t="str">
        <x:v>Not started</x:v>
      </x:c>
      <x:c r="G6" s="81" t="str"/>
    </x:row>
    <x:row r="7" ht="108" customHeight="1">
      <x:c r="A7" s="79" t="str">
        <x:v>G1</x:v>
      </x:c>
      <x:c r="B7" s="79" t="str">
        <x:v>Controlled pilot</x:v>
      </x:c>
      <x:c r="C7" s="79" t="str">
        <x:v>Channels / Messaging / Automation / QA</x:v>
      </x:c>
      <x:c r="D7" s="79" t="str">
        <x:v>One real end-to-end permitted Mission with inbox, workflows, AI, webhooks and support</x:v>
      </x:c>
      <x:c r="E7" s="79" t="str">
        <x:v>Onboarding and approval evidence, crash-window tests, rollback and support readiness</x:v>
      </x:c>
      <x:c r="F7" s="81" t="str">
        <x:v>Not started</x:v>
      </x:c>
      <x:c r="G7" s="81" t="str"/>
    </x:row>
    <x:row r="8" ht="108" customHeight="1">
      <x:c r="A8" s="79" t="str">
        <x:v>G2</x:v>
      </x:c>
      <x:c r="B8" s="79" t="str">
        <x:v>General product</x:v>
      </x:c>
      <x:c r="C8" s="79" t="str">
        <x:v>Business / Integrations / SRE</x:v>
      </x:c>
      <x:c r="D8" s="79" t="str">
        <x:v>Broader channels, commerce, integrations, billing and regional recovery</x:v>
      </x:c>
      <x:c r="E8" s="79" t="str">
        <x:v>Product acceptance, policy validation, reconciliation, restore and unit economics</x:v>
      </x:c>
      <x:c r="F8" s="81" t="str">
        <x:v>Not started</x:v>
      </x:c>
      <x:c r="G8" s="81" t="str"/>
    </x:row>
    <x:row r="9" ht="108" customHeight="1">
      <x:c r="A9" s="79" t="str">
        <x:v>G3</x:v>
      </x:c>
      <x:c r="B9" s="79" t="str">
        <x:v>Advanced ecosystem</x:v>
      </x:c>
      <x:c r="C9" s="79" t="str">
        <x:v>Voice / Ecosystem / Security</x:v>
      </x:c>
      <x:c r="D9" s="79" t="str">
        <x:v>Conditional voice, marketplace, reseller, enterprise deployment</x:v>
      </x:c>
      <x:c r="E9" s="79" t="str">
        <x:v>Provider eligibility, package review, enterprise isolation and commercial demand</x:v>
      </x:c>
      <x:c r="F9" s="81" t="str">
        <x:v>Not started</x:v>
      </x:c>
      <x:c r="G9" s="81" t="str"/>
    </x:row>
    <x:row r="10" ht="108" customHeight="1">
      <x:c r="A10" s="79" t="str">
        <x:v>G4</x:v>
      </x:c>
      <x:c r="B10" s="79" t="str">
        <x:v>Hyperscale certification</x:v>
      </x:c>
      <x:c r="C10" s="79" t="str">
        <x:v>SRE / Performance QA / Provider operations</x:v>
      </x:c>
      <x:c r="D10" s="79" t="str">
        <x:v>Admitted cell fleet supporting qualified 10m tenants / 10b messages-day envelope</x:v>
      </x:c>
      <x:c r="E10" s="79" t="str">
        <x:v>Actual peak/skew/storage/AI/provider capacity and regional recovery evidence</x:v>
      </x:c>
      <x:c r="F10" s="81" t="str">
        <x:v>Not started</x:v>
      </x:c>
      <x:c r="G10" s="81" t="str"/>
    </x:row>
  </x:sheetData>
  <x:mergeCells>
    <x:mergeCell ref="A1:G1"/>
    <x:mergeCell ref="A2:G2"/>
  </x:mergeCells>
  <x:dataValidations count="1">
    <x:dataValidation type="list" sqref="F6:F10">
      <x:formula1>"Not started,In progress,Blocked,Review,Passed"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70a9cd52bc42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7" hidden="0" customWidth="1"/>
    <x:col min="3" max="3" width="33" hidden="0" customWidth="1"/>
    <x:col min="4" max="4" width="68" hidden="0" customWidth="1"/>
    <x:col min="5" max="5" width="42" hidden="0" customWidth="1"/>
    <x:col min="6" max="6" width="17" hidden="0" customWidth="1"/>
    <x:col min="7" max="7" width="38" hidden="0" customWidth="1"/>
  </x:cols>
  <x:sheetData>
    <x:row r="1" ht="34" customHeight="1">
      <x:c r="A1" s="4" t="str">
        <x:v>APPROVAL &amp; OPEN-DECISION REGISTER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All items below need named ownership and linked evidence. Exact current Meta access/quotas were not fully retrievable.</x:v>
      </x:c>
      <x:c r="B2" s="11"/>
      <x:c r="C2" s="11"/>
      <x:c r="D2" s="11"/>
      <x:c r="E2" s="11"/>
      <x:c r="F2" s="11"/>
      <x:c r="G2" s="11"/>
    </x:row>
    <x:row r="5" ht="30" customHeight="1">
      <x:c r="A5" s="19" t="str">
        <x:v>Decision ID</x:v>
      </x:c>
      <x:c r="B5" s="19" t="str">
        <x:v>Decision</x:v>
      </x:c>
      <x:c r="C5" s="19" t="str">
        <x:v>Accountable roles</x:v>
      </x:c>
      <x:c r="D5" s="19" t="str">
        <x:v>Required evidence</x:v>
      </x:c>
      <x:c r="E5" s="19" t="str">
        <x:v>Gate</x:v>
      </x:c>
      <x:c r="F5" s="19" t="str">
        <x:v>Status</x:v>
      </x:c>
      <x:c r="G5" s="19" t="str">
        <x:v>Evidence link</x:v>
      </x:c>
    </x:row>
    <x:row r="6" ht="86" customHeight="1">
      <x:c r="A6" s="79" t="str">
        <x:v>OD-01</x:v>
      </x:c>
      <x:c r="B6" s="79" t="str">
        <x:v>Actual workload shape</x:v>
      </x:c>
      <x:c r="C6" s="79" t="str">
        <x:v>Architecture + Product</x:v>
      </x:c>
      <x:c r="D6" s="79" t="str">
        <x:v>Inbound/outbound/receipt mix, peak distribution and top-tenant skew</x:v>
      </x:c>
      <x:c r="E6" s="79" t="str">
        <x:v>Before capacity certification</x:v>
      </x:c>
      <x:c r="F6" s="81" t="str">
        <x:v>Not started</x:v>
      </x:c>
      <x:c r="G6" s="81"/>
    </x:row>
    <x:row r="7" ht="86" customHeight="1">
      <x:c r="A7" s="79" t="str">
        <x:v>OD-02</x:v>
      </x:c>
      <x:c r="B7" s="79" t="str">
        <x:v>Current Meta signup, scopes and quotas</x:v>
      </x:c>
      <x:c r="C7" s="79" t="str">
        <x:v>Channels + Provider operations</x:v>
      </x:c>
      <x:c r="D7" s="79" t="str">
        <x:v>Official current signup, App Review, permissions and account/onboarding quota evidence</x:v>
      </x:c>
      <x:c r="E7" s="79" t="str">
        <x:v>Before Meta submission</x:v>
      </x:c>
      <x:c r="F7" s="81" t="str">
        <x:v>Not started</x:v>
      </x:c>
      <x:c r="G7" s="81"/>
    </x:row>
    <x:row r="8" ht="86" customHeight="1">
      <x:c r="A8" s="79" t="str">
        <x:v>OD-03</x:v>
      </x:c>
      <x:c r="B8" s="79" t="str">
        <x:v>App topology and data residency</x:v>
      </x:c>
      <x:c r="C8" s="79" t="str">
        <x:v>Channels + Legal + Security</x:v>
      </x:c>
      <x:c r="D8" s="79" t="str">
        <x:v>Decide single App ID and callback routing; approve locality for mixed-asset bodies</x:v>
      </x:c>
      <x:c r="E8" s="79" t="str">
        <x:v>Before strict-residency commitments</x:v>
      </x:c>
      <x:c r="F8" s="81" t="str">
        <x:v>Not started</x:v>
      </x:c>
      <x:c r="G8" s="81"/>
    </x:row>
    <x:row r="9" ht="86" customHeight="1">
      <x:c r="A9" s="79" t="str">
        <x:v>OD-04</x:v>
      </x:c>
      <x:c r="B9" s="79" t="str">
        <x:v>AI/data-use restrictions</x:v>
      </x:c>
      <x:c r="C9" s="79" t="str">
        <x:v>Legal + AI</x:v>
      </x:c>
      <x:c r="D9" s="79" t="str">
        <x:v>Approve channel-specific business purpose, processing, training and model restrictions</x:v>
      </x:c>
      <x:c r="E9" s="79" t="str">
        <x:v>Before AI production access</x:v>
      </x:c>
      <x:c r="F9" s="81" t="str">
        <x:v>Not started</x:v>
      </x:c>
      <x:c r="G9" s="81"/>
    </x:row>
    <x:row r="10" ht="86" customHeight="1">
      <x:c r="A10" s="79" t="str">
        <x:v>OD-05</x:v>
      </x:c>
      <x:c r="B10" s="79" t="str">
        <x:v>Contractual DR service tiers</x:v>
      </x:c>
      <x:c r="C10" s="79" t="str">
        <x:v>SRE + Legal + Sales</x:v>
      </x:c>
      <x:c r="D10" s="79" t="str">
        <x:v>Measured RPO/RTO and residency contract; asynchronous DR is not zero loss</x:v>
      </x:c>
      <x:c r="E10" s="79" t="str">
        <x:v>Before SLA publication</x:v>
      </x:c>
      <x:c r="F10" s="81" t="str">
        <x:v>Not started</x:v>
      </x:c>
      <x:c r="G10" s="81"/>
    </x:row>
    <x:row r="11" ht="86" customHeight="1">
      <x:c r="A11" s="79" t="str">
        <x:v>OD-06</x:v>
      </x:c>
      <x:c r="B11" s="79" t="str">
        <x:v>Media, AI, voice and retention</x:v>
      </x:c>
      <x:c r="C11" s="79" t="str">
        <x:v>Product + Finance + SRE</x:v>
      </x:c>
      <x:c r="D11" s="79" t="str">
        <x:v>Measured fractions, sizes, tokens, concurrent calls and webhook fanout</x:v>
      </x:c>
      <x:c r="E11" s="79" t="str">
        <x:v>Before production cost commitment</x:v>
      </x:c>
      <x:c r="F11" s="81" t="str">
        <x:v>Not started</x:v>
      </x:c>
      <x:c r="G11" s="81"/>
    </x:row>
    <x:row r="12" ht="86" customHeight="1">
      <x:c r="A12" s="79" t="str">
        <x:v>OD-07</x:v>
      </x:c>
      <x:c r="B12" s="79" t="str">
        <x:v>Cell hardware/software qualification</x:v>
      </x:c>
      <x:c r="C12" s="79" t="str">
        <x:v>SRE + Performance QA</x:v>
      </x:c>
      <x:c r="D12" s="79" t="str">
        <x:v>Pinned bill of materials, production-like cell benchmark and soak evidence</x:v>
      </x:c>
      <x:c r="E12" s="79" t="str">
        <x:v>Before each capacity claim</x:v>
      </x:c>
      <x:c r="F12" s="81" t="str">
        <x:v>Not started</x:v>
      </x:c>
      <x:c r="G12" s="81"/>
    </x:row>
    <x:row r="13" ht="86" customHeight="1">
      <x:c r="A13" s="79" t="str">
        <x:v>OD-08</x:v>
      </x:c>
      <x:c r="B13" s="79" t="str">
        <x:v>Staffing and operational budget</x:v>
      </x:c>
      <x:c r="C13" s="79" t="str">
        <x:v>Leadership</x:v>
      </x:c>
      <x:c r="D13" s="79" t="str">
        <x:v>Named owners, on-call/support coverage, infrastructure and provider funding</x:v>
      </x:c>
      <x:c r="E13" s="79" t="str">
        <x:v>Before commercial release</x:v>
      </x:c>
      <x:c r="F13" s="81" t="str">
        <x:v>Not started</x:v>
      </x:c>
      <x:c r="G13" s="81"/>
    </x:row>
    <x:row r="14" ht="86" customHeight="1">
      <x:c r="A14" s="79" t="str">
        <x:v>OD-09</x:v>
      </x:c>
      <x:c r="B14" s="79" t="str">
        <x:v>Actual repository audit</x:v>
      </x:c>
      <x:c r="C14" s="79" t="str">
        <x:v>Engineering</x:v>
      </x:c>
      <x:c r="D14" s="79" t="str">
        <x:v>Inspect current code, dependencies, security posture and migration plan</x:v>
      </x:c>
      <x:c r="E14" s="79" t="str">
        <x:v>Before applying proposed layout</x:v>
      </x:c>
      <x:c r="F14" s="81" t="str">
        <x:v>Not started</x:v>
      </x:c>
      <x:c r="G14" s="81"/>
    </x:row>
    <x:row r="15" ht="86" customHeight="1">
      <x:c r="A15" s="79" t="str">
        <x:v>OD-10</x:v>
      </x:c>
      <x:c r="B15" s="79" t="str">
        <x:v>Market-specific legal obligations</x:v>
      </x:c>
      <x:c r="C15" s="79" t="str">
        <x:v>Legal + Security</x:v>
      </x:c>
      <x:c r="D15" s="79" t="str">
        <x:v>Privacy, tax, payments, recording and regulated-data applicability</x:v>
      </x:c>
      <x:c r="E15" s="79" t="str">
        <x:v>Before corresponding market/feature</x:v>
      </x:c>
      <x:c r="F15" s="81" t="str">
        <x:v>Not started</x:v>
      </x:c>
      <x:c r="G15" s="81"/>
    </x:row>
    <x:row r="16" ht="86" customHeight="1">
      <x:c r="A16" s="79" t="str">
        <x:v>OD-11</x:v>
      </x:c>
      <x:c r="B16" s="79" t="str">
        <x:v>Production volume and conditional channels</x:v>
      </x:c>
      <x:c r="C16" s="79" t="str">
        <x:v>Provider operations</x:v>
      </x:c>
      <x:c r="D16" s="79" t="str">
        <x:v>Provider account/number/app volume permission and optional feature eligibility</x:v>
      </x:c>
      <x:c r="E16" s="79" t="str">
        <x:v>Before scale or conditional-feature activation</x:v>
      </x:c>
      <x:c r="F16" s="81" t="str">
        <x:v>Not started</x:v>
      </x:c>
      <x:c r="G16" s="81"/>
    </x:row>
    <x:row r="17" ht="86" customHeight="1">
      <x:c r="A17" s="79" t="str">
        <x:v>OD-12</x:v>
      </x:c>
      <x:c r="B17" s="79" t="str">
        <x:v>Licenses, cloud quotas and contracts</x:v>
      </x:c>
      <x:c r="C17" s="79" t="str">
        <x:v>Engineering + Procurement</x:v>
      </x:c>
      <x:c r="D17" s="79" t="str">
        <x:v>SDK/model licenses, cloud limits and service agreements</x:v>
      </x:c>
      <x:c r="E17" s="79" t="str">
        <x:v>Before provider selection is contracted</x:v>
      </x:c>
      <x:c r="F17" s="81" t="str">
        <x:v>Not started</x:v>
      </x:c>
      <x:c r="G17" s="81"/>
    </x:row>
  </x:sheetData>
  <x:mergeCells>
    <x:mergeCell ref="A1:G1"/>
    <x:mergeCell ref="A2:G2"/>
  </x:mergeCells>
  <x:dataValidations count="1">
    <x:dataValidation type="list" sqref="F6:F17">
      <x:formula1>"Not started,In progress,Blocked,Review,Resolved"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baf51275f747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30" hidden="0" customWidth="1"/>
    <x:col min="4" max="4" width="28" hidden="0" customWidth="1"/>
    <x:col min="5" max="5" width="23" hidden="0" customWidth="1"/>
    <x:col min="6" max="6" width="78" hidden="0" customWidth="1"/>
  </x:cols>
  <x:sheetData>
    <x:row r="1" ht="34" customHeight="1">
      <x:c r="A1" s="4" t="str">
        <x:v>APPROVED SCOPE TRACEABILITY</x:v>
      </x:c>
      <x:c r="B1" s="4"/>
      <x:c r="C1" s="4"/>
      <x:c r="D1" s="4"/>
      <x:c r="E1" s="4"/>
      <x:c r="F1" s="4"/>
    </x:row>
    <x:row r="2" ht="36" customHeight="1">
      <x:c r="A2" s="11" t="str">
        <x:v>All 61 numbered source sections are mapped. Conceptual market and forecast claims are not converted into verified facts.</x:v>
      </x:c>
      <x:c r="B2" s="11"/>
      <x:c r="C2" s="11"/>
      <x:c r="D2" s="11"/>
      <x:c r="E2" s="11"/>
      <x:c r="F2" s="11"/>
    </x:row>
    <x:row r="5" ht="30" customHeight="1">
      <x:c r="A5" s="19" t="str">
        <x:v>Source section</x:v>
      </x:c>
      <x:c r="B5" s="19" t="str">
        <x:v>Approved source heading</x:v>
      </x:c>
      <x:c r="C5" s="19" t="str">
        <x:v>Type</x:v>
      </x:c>
      <x:c r="D5" s="19" t="str">
        <x:v>Work-package groups</x:v>
      </x:c>
      <x:c r="E5" s="19" t="str">
        <x:v>Architecture sections</x:v>
      </x:c>
      <x:c r="F5" s="19" t="str">
        <x:v>Interpretation / constraint</x:v>
      </x:c>
    </x:row>
    <x:row r="6" ht="70" customHeight="1">
      <x:c r="A6" s="83" t="n">
        <x:v>1</x:v>
      </x:c>
      <x:c r="B6" s="83" t="str">
        <x:v>What the market already has</x:v>
      </x:c>
      <x:c r="C6" s="83" t="str">
        <x:v>Product context / governed claim</x:v>
      </x:c>
      <x:c r="D6" s="83" t="str">
        <x:v>GOV</x:v>
      </x:c>
      <x:c r="E6" s="83" t="str">
        <x:v>1, 35</x:v>
      </x:c>
      <x:c r="F6" s="83" t="str">
        <x:v>Not evidence of uniqueness, market penetration or completed capability.</x:v>
      </x:c>
    </x:row>
    <x:row r="7" ht="70" customHeight="1">
      <x:c r="A7" s="83" t="n">
        <x:v>2</x:v>
      </x:c>
      <x:c r="B7" s="83" t="str">
        <x:v>The category I would build</x:v>
      </x:c>
      <x:c r="C7" s="83" t="str">
        <x:v>Retained requirement</x:v>
      </x:c>
      <x:c r="D7" s="83" t="str">
        <x:v>GOV,PLT</x:v>
      </x:c>
      <x:c r="E7" s="83" t="str">
        <x:v>2</x:v>
      </x:c>
      <x:c r="F7" s="83" t="str">
        <x:v>Implementation split across listed work-package groups; external capabilities remain eligibility gated.</x:v>
      </x:c>
    </x:row>
    <x:row r="8" ht="70" customHeight="1">
      <x:c r="A8" s="83" t="n">
        <x:v>3</x:v>
      </x:c>
      <x:c r="B8" s="83" t="str">
        <x:v>The real innovation: Mission, not Workflow</x:v>
      </x:c>
      <x:c r="C8" s="83" t="str">
        <x:v>Retained requirement</x:v>
      </x:c>
      <x:c r="D8" s="83" t="str">
        <x:v>MIS</x:v>
      </x:c>
      <x:c r="E8" s="83" t="str">
        <x:v>6, 17</x:v>
      </x:c>
      <x:c r="F8" s="83" t="str">
        <x:v>Implementation split across listed work-package groups; external capabilities remain eligibility gated.</x:v>
      </x:c>
    </x:row>
    <x:row r="9" ht="70" customHeight="1">
      <x:c r="A9" s="83" t="n">
        <x:v>4</x:v>
      </x:c>
      <x:c r="B9" s="83" t="str">
        <x:v>Mission Compiler</x:v>
      </x:c>
      <x:c r="C9" s="83" t="str">
        <x:v>Retained requirement</x:v>
      </x:c>
      <x:c r="D9" s="83" t="str">
        <x:v>MIS,AIG</x:v>
      </x:c>
      <x:c r="E9" s="83" t="str">
        <x:v>17, 21</x:v>
      </x:c>
      <x:c r="F9" s="83" t="str">
        <x:v>Implementation split across listed work-package groups; external capabilities remain eligibility gated.</x:v>
      </x:c>
    </x:row>
    <x:row r="10" ht="70" customHeight="1">
      <x:c r="A10" s="83" t="n">
        <x:v>5</x:v>
      </x:c>
      <x:c r="B10" s="83" t="str">
        <x:v>Unique layer #2: Full-Stack Journey Twin</x:v>
      </x:c>
      <x:c r="C10" s="83" t="str">
        <x:v>Retained requirement</x:v>
      </x:c>
      <x:c r="D10" s="83" t="str">
        <x:v>SIM</x:v>
      </x:c>
      <x:c r="E10" s="83" t="str">
        <x:v>20</x:v>
      </x:c>
      <x:c r="F10" s="83" t="str">
        <x:v>Implementation split across listed work-package groups; external capabilities remain eligibility gated.</x:v>
      </x:c>
    </x:row>
    <x:row r="11" ht="70" customHeight="1">
      <x:c r="A11" s="83" t="n">
        <x:v>6</x:v>
      </x:c>
      <x:c r="B11" s="83" t="str">
        <x:v>Simulation output</x:v>
      </x:c>
      <x:c r="C11" s="83" t="str">
        <x:v>Retained requirement</x:v>
      </x:c>
      <x:c r="D11" s="83" t="str">
        <x:v>SIM</x:v>
      </x:c>
      <x:c r="E11" s="83" t="str">
        <x:v>20</x:v>
      </x:c>
      <x:c r="F11" s="83" t="str">
        <x:v>Retained simulator/shadow feature; earlier numeric conversion examples are illustrative, not evidence or valid counterfactual uplift.</x:v>
      </x:c>
    </x:row>
    <x:row r="12" ht="70" customHeight="1">
      <x:c r="A12" s="83" t="n">
        <x:v>7</x:v>
      </x:c>
      <x:c r="B12" s="83" t="str">
        <x:v>Unique layer #3: Provider Twin</x:v>
      </x:c>
      <x:c r="C12" s="83" t="str">
        <x:v>Retained requirement</x:v>
      </x:c>
      <x:c r="D12" s="83" t="str">
        <x:v>WHA,INS,TGM</x:v>
      </x:c>
      <x:c r="E12" s="83" t="str">
        <x:v>11, 17</x:v>
      </x:c>
      <x:c r="F12" s="83" t="str">
        <x:v>Implementation split across listed work-package groups; external capabilities remain eligibility gated.</x:v>
      </x:c>
    </x:row>
    <x:row r="13" ht="70" customHeight="1">
      <x:c r="A13" s="83" t="n">
        <x:v>8</x:v>
      </x:c>
      <x:c r="B13" s="83" t="str">
        <x:v>Unique layer #4: Channel-Native Experience Compiler</x:v>
      </x:c>
      <x:c r="C13" s="83" t="str">
        <x:v>Retained requirement</x:v>
      </x:c>
      <x:c r="D13" s="83" t="str">
        <x:v>MIS</x:v>
      </x:c>
      <x:c r="E13" s="83" t="str">
        <x:v>17</x:v>
      </x:c>
      <x:c r="F13" s="83" t="str">
        <x:v>Implementation split across listed work-package groups; external capabilities remain eligibility gated.</x:v>
      </x:c>
    </x:row>
    <x:row r="14" ht="70" customHeight="1">
      <x:c r="A14" s="83" t="n">
        <x:v>9</x:v>
      </x:c>
      <x:c r="B14" s="83" t="str">
        <x:v>Unique layer #5: Provider Change Radar</x:v>
      </x:c>
      <x:c r="C14" s="83" t="str">
        <x:v>Retained requirement</x:v>
      </x:c>
      <x:c r="D14" s="83" t="str">
        <x:v>SIM,GOV</x:v>
      </x:c>
      <x:c r="E14" s="83" t="str">
        <x:v>20, 34</x:v>
      </x:c>
      <x:c r="F14" s="83" t="str">
        <x:v>Implementation split across listed work-package groups; external capabilities remain eligibility gated.</x:v>
      </x:c>
    </x:row>
    <x:row r="15" ht="70" customHeight="1">
      <x:c r="A15" s="83" t="n">
        <x:v>10</x:v>
      </x:c>
      <x:c r="B15" s="83" t="str">
        <x:v>Unique layer #6: Action Receipt</x:v>
      </x:c>
      <x:c r="C15" s="83" t="str">
        <x:v>Retained requirement</x:v>
      </x:c>
      <x:c r="D15" s="83" t="str">
        <x:v>ACT</x:v>
      </x:c>
      <x:c r="E15" s="83" t="str">
        <x:v>19</x:v>
      </x:c>
      <x:c r="F15" s="83" t="str">
        <x:v>Implementation split across listed work-package groups; external capabilities remain eligibility gated.</x:v>
      </x:c>
    </x:row>
    <x:row r="16" ht="70" customHeight="1">
      <x:c r="A16" s="83" t="n">
        <x:v>11</x:v>
      </x:c>
      <x:c r="B16" s="83" t="str">
        <x:v>Unique layer #7: Adaptive Autonomy</x:v>
      </x:c>
      <x:c r="C16" s="83" t="str">
        <x:v>Retained requirement</x:v>
      </x:c>
      <x:c r="D16" s="83" t="str">
        <x:v>ACT,AIG</x:v>
      </x:c>
      <x:c r="E16" s="83" t="str">
        <x:v>19, 21</x:v>
      </x:c>
      <x:c r="F16" s="83" t="str">
        <x:v>Implementation split across listed work-package groups; external capabilities remain eligibility gated.</x:v>
      </x:c>
    </x:row>
    <x:row r="17" ht="70" customHeight="1">
      <x:c r="A17" s="83" t="n">
        <x:v>12</x:v>
      </x:c>
      <x:c r="B17" s="83" t="str">
        <x:v>Shadow Runtime</x:v>
      </x:c>
      <x:c r="C17" s="83" t="str">
        <x:v>Retained requirement</x:v>
      </x:c>
      <x:c r="D17" s="83" t="str">
        <x:v>SIM</x:v>
      </x:c>
      <x:c r="E17" s="83" t="str">
        <x:v>20</x:v>
      </x:c>
      <x:c r="F17" s="83" t="str">
        <x:v>Retained simulator/shadow feature; earlier numeric conversion examples are illustrative, not evidence or valid counterfactual uplift.</x:v>
      </x:c>
    </x:row>
    <x:row r="18" ht="70" customHeight="1">
      <x:c r="A18" s="83" t="n">
        <x:v>13</x:v>
      </x:c>
      <x:c r="B18" s="83" t="str">
        <x:v>Full Meta Control Center</x:v>
      </x:c>
      <x:c r="C18" s="83" t="str">
        <x:v>Retained requirement</x:v>
      </x:c>
      <x:c r="D18" s="83" t="str">
        <x:v>WHA,INS,UX</x:v>
      </x:c>
      <x:c r="E18" s="83" t="str">
        <x:v>11, 34</x:v>
      </x:c>
      <x:c r="F18" s="83" t="str">
        <x:v>Implementation split across listed work-package groups; external capabilities remain eligibility gated.</x:v>
      </x:c>
    </x:row>
    <x:row r="19" ht="70" customHeight="1">
      <x:c r="A19" s="83" t="n">
        <x:v>14</x:v>
      </x:c>
      <x:c r="B19" s="83" t="str">
        <x:v>"Connect Meta" user flow</x:v>
      </x:c>
      <x:c r="C19" s="83" t="str">
        <x:v>Retained requirement</x:v>
      </x:c>
      <x:c r="D19" s="83" t="str">
        <x:v>WHA,INS</x:v>
      </x:c>
      <x:c r="E19" s="83" t="str">
        <x:v>11</x:v>
      </x:c>
      <x:c r="F19" s="83" t="str">
        <x:v>Implementation split across listed work-package groups; external capabilities remain eligibility gated.</x:v>
      </x:c>
    </x:row>
    <x:row r="20" ht="70" customHeight="1">
      <x:c r="A20" s="83" t="n">
        <x:v>15</x:v>
      </x:c>
      <x:c r="B20" s="83" t="str">
        <x:v>Customer should see this, not Meta internals</x:v>
      </x:c>
      <x:c r="C20" s="83" t="str">
        <x:v>Retained requirement</x:v>
      </x:c>
      <x:c r="D20" s="83" t="str">
        <x:v>UX</x:v>
      </x:c>
      <x:c r="E20" s="83" t="str">
        <x:v>10, 11</x:v>
      </x:c>
      <x:c r="F20" s="83" t="str">
        <x:v>Implementation split across listed work-package groups; external capabilities remain eligibility gated.</x:v>
      </x:c>
    </x:row>
    <x:row r="21" ht="70" customHeight="1">
      <x:c r="A21" s="83" t="n">
        <x:v>16</x:v>
      </x:c>
      <x:c r="B21" s="83" t="str">
        <x:v>Telegram Control Center</x:v>
      </x:c>
      <x:c r="C21" s="83" t="str">
        <x:v>Retained requirement</x:v>
      </x:c>
      <x:c r="D21" s="83" t="str">
        <x:v>TGM</x:v>
      </x:c>
      <x:c r="E21" s="83" t="str">
        <x:v>11</x:v>
      </x:c>
      <x:c r="F21" s="83" t="str">
        <x:v>Implementation split across listed work-package groups; external capabilities remain eligibility gated.</x:v>
      </x:c>
    </x:row>
    <x:row r="22" ht="70" customHeight="1">
      <x:c r="A22" s="83" t="n">
        <x:v>17</x:v>
      </x:c>
      <x:c r="B22" s="83" t="str">
        <x:v>Supporting "any messaging application"</x:v>
      </x:c>
      <x:c r="C22" s="83" t="str">
        <x:v>Retained requirement</x:v>
      </x:c>
      <x:c r="D22" s="83" t="str">
        <x:v>TGM</x:v>
      </x:c>
      <x:c r="E22" s="83" t="str">
        <x:v>22</x:v>
      </x:c>
      <x:c r="F22" s="83" t="str">
        <x:v>Implementation split across listed work-package groups; external capabilities remain eligibility gated.</x:v>
      </x:c>
    </x:row>
    <x:row r="23" ht="70" customHeight="1">
      <x:c r="A23" s="83" t="n">
        <x:v>18</x:v>
      </x:c>
      <x:c r="B23" s="83" t="str">
        <x:v>Universal Customer Graph</x:v>
      </x:c>
      <x:c r="C23" s="83" t="str">
        <x:v>Retained requirement</x:v>
      </x:c>
      <x:c r="D23" s="83" t="str">
        <x:v>CUS</x:v>
      </x:c>
      <x:c r="E23" s="83" t="str">
        <x:v>6, 23</x:v>
      </x:c>
      <x:c r="F23" s="83" t="str">
        <x:v>Implementation split across listed work-package groups; external capabilities remain eligibility gated.</x:v>
      </x:c>
    </x:row>
    <x:row r="24" ht="70" customHeight="1">
      <x:c r="A24" s="83" t="n">
        <x:v>19</x:v>
      </x:c>
      <x:c r="B24" s="83" t="str">
        <x:v>Customer Journey State</x:v>
      </x:c>
      <x:c r="C24" s="83" t="str">
        <x:v>Retained requirement</x:v>
      </x:c>
      <x:c r="D24" s="83" t="str">
        <x:v>CUS</x:v>
      </x:c>
      <x:c r="E24" s="83" t="str">
        <x:v>23</x:v>
      </x:c>
      <x:c r="F24" s="83" t="str">
        <x:v>Implementation split across listed work-package groups; external capabilities remain eligibility gated.</x:v>
      </x:c>
    </x:row>
    <x:row r="25" ht="70" customHeight="1">
      <x:c r="A25" s="83" t="n">
        <x:v>20</x:v>
      </x:c>
      <x:c r="B25" s="83" t="str">
        <x:v>Workflow Builder</x:v>
      </x:c>
      <x:c r="C25" s="83" t="str">
        <x:v>Retained requirement</x:v>
      </x:c>
      <x:c r="D25" s="83" t="str">
        <x:v>WFL</x:v>
      </x:c>
      <x:c r="E25" s="83" t="str">
        <x:v>17, 18</x:v>
      </x:c>
      <x:c r="F25" s="83" t="str">
        <x:v>Implementation split across listed work-package groups; external capabilities remain eligibility gated.</x:v>
      </x:c>
    </x:row>
    <x:row r="26" ht="70" customHeight="1">
      <x:c r="A26" s="83" t="n">
        <x:v>21</x:v>
      </x:c>
      <x:c r="B26" s="83" t="str">
        <x:v>Four ways to build automation</x:v>
      </x:c>
      <x:c r="C26" s="83" t="str">
        <x:v>Retained requirement</x:v>
      </x:c>
      <x:c r="D26" s="83" t="str">
        <x:v>WFL,MIS</x:v>
      </x:c>
      <x:c r="E26" s="83" t="str">
        <x:v>17, 18</x:v>
      </x:c>
      <x:c r="F26" s="83" t="str">
        <x:v>Implementation split across listed work-package groups; external capabilities remain eligibility gated.</x:v>
      </x:c>
    </x:row>
    <x:row r="27" ht="70" customHeight="1">
      <x:c r="A27" s="83" t="n">
        <x:v>22</x:v>
      </x:c>
      <x:c r="B27" s="83" t="str">
        <x:v>Durable workflow runtime</x:v>
      </x:c>
      <x:c r="C27" s="83" t="str">
        <x:v>Retained requirement</x:v>
      </x:c>
      <x:c r="D27" s="83" t="str">
        <x:v>WFL</x:v>
      </x:c>
      <x:c r="E27" s="83" t="str">
        <x:v>18</x:v>
      </x:c>
      <x:c r="F27" s="83" t="str">
        <x:v>Implementation split across listed work-package groups; external capabilities remain eligibility gated.</x:v>
      </x:c>
    </x:row>
    <x:row r="28" ht="70" customHeight="1">
      <x:c r="A28" s="83" t="n">
        <x:v>23</x:v>
      </x:c>
      <x:c r="B28" s="83" t="str">
        <x:v>Every external action goes through one Action Gateway</x:v>
      </x:c>
      <x:c r="C28" s="83" t="str">
        <x:v>Retained requirement</x:v>
      </x:c>
      <x:c r="D28" s="83" t="str">
        <x:v>ACT</x:v>
      </x:c>
      <x:c r="E28" s="83" t="str">
        <x:v>19</x:v>
      </x:c>
      <x:c r="F28" s="83" t="str">
        <x:v>Implementation split across listed work-package groups; external capabilities remain eligibility gated.</x:v>
      </x:c>
    </x:row>
    <x:row r="29" ht="70" customHeight="1">
      <x:c r="A29" s="83" t="n">
        <x:v>24</x:v>
      </x:c>
      <x:c r="B29" s="83" t="str">
        <x:v>AI Control Plane</x:v>
      </x:c>
      <x:c r="C29" s="83" t="str">
        <x:v>Retained requirement</x:v>
      </x:c>
      <x:c r="D29" s="83" t="str">
        <x:v>AIG</x:v>
      </x:c>
      <x:c r="E29" s="83" t="str">
        <x:v>21</x:v>
      </x:c>
      <x:c r="F29" s="83" t="str">
        <x:v>Implementation split across listed work-package groups; external capabilities remain eligibility gated.</x:v>
      </x:c>
    </x:row>
    <x:row r="30" ht="70" customHeight="1">
      <x:c r="A30" s="83" t="n">
        <x:v>25</x:v>
      </x:c>
      <x:c r="B30" s="83" t="str">
        <x:v>AI Workforce</x:v>
      </x:c>
      <x:c r="C30" s="83" t="str">
        <x:v>Retained requirement</x:v>
      </x:c>
      <x:c r="D30" s="83" t="str">
        <x:v>AIG</x:v>
      </x:c>
      <x:c r="E30" s="83" t="str">
        <x:v>21</x:v>
      </x:c>
      <x:c r="F30" s="83" t="str">
        <x:v>Implementation split across listed work-package groups; external capabilities remain eligibility gated.</x:v>
      </x:c>
    </x:row>
    <x:row r="31" ht="70" customHeight="1">
      <x:c r="A31" s="83" t="n">
        <x:v>26</x:v>
      </x:c>
      <x:c r="B31" s="83" t="str">
        <x:v>Human workforce remains first-class</x:v>
      </x:c>
      <x:c r="C31" s="83" t="str">
        <x:v>Retained requirement</x:v>
      </x:c>
      <x:c r="D31" s="83" t="str">
        <x:v>WFL,MSG</x:v>
      </x:c>
      <x:c r="E31" s="83" t="str">
        <x:v>18, 26</x:v>
      </x:c>
      <x:c r="F31" s="83" t="str">
        <x:v>Implementation split across listed work-package groups; external capabilities remain eligibility gated.</x:v>
      </x:c>
    </x:row>
    <x:row r="32" ht="70" customHeight="1">
      <x:c r="A32" s="83" t="n">
        <x:v>27</x:v>
      </x:c>
      <x:c r="B32" s="83" t="str">
        <x:v>Experience handoff across channels</x:v>
      </x:c>
      <x:c r="C32" s="83" t="str">
        <x:v>Retained requirement</x:v>
      </x:c>
      <x:c r="D32" s="83" t="str">
        <x:v>CUS,MSG</x:v>
      </x:c>
      <x:c r="E32" s="83" t="str">
        <x:v>23</x:v>
      </x:c>
      <x:c r="F32" s="83" t="str">
        <x:v>Implementation split across listed work-package groups; external capabilities remain eligibility gated.</x:v>
      </x:c>
    </x:row>
    <x:row r="33" ht="70" customHeight="1">
      <x:c r="A33" s="83" t="n">
        <x:v>28</x:v>
      </x:c>
      <x:c r="B33" s="83" t="str">
        <x:v>WhatsApp Calling</x:v>
      </x:c>
      <x:c r="C33" s="83" t="str">
        <x:v>Retained requirement</x:v>
      </x:c>
      <x:c r="D33" s="83" t="str">
        <x:v>VOC</x:v>
      </x:c>
      <x:c r="E33" s="83" t="str">
        <x:v>24</x:v>
      </x:c>
      <x:c r="F33" s="83" t="str">
        <x:v>Implementation split across listed work-package groups; external capabilities remain eligibility gated.</x:v>
      </x:c>
    </x:row>
    <x:row r="34" ht="70" customHeight="1">
      <x:c r="A34" s="83" t="n">
        <x:v>29</x:v>
      </x:c>
      <x:c r="B34" s="83" t="str">
        <x:v>Developer Platform</x:v>
      </x:c>
      <x:c r="C34" s="83" t="str">
        <x:v>Retained requirement</x:v>
      </x:c>
      <x:c r="D34" s="83" t="str">
        <x:v>DEV</x:v>
      </x:c>
      <x:c r="E34" s="83" t="str">
        <x:v>22, 31</x:v>
      </x:c>
      <x:c r="F34" s="83" t="str">
        <x:v>Implementation split across listed work-package groups; external capabilities remain eligibility gated.</x:v>
      </x:c>
    </x:row>
    <x:row r="35" ht="70" customHeight="1">
      <x:c r="A35" s="83" t="n">
        <x:v>30</x:v>
      </x:c>
      <x:c r="B35" s="83" t="str">
        <x:v>Universal Event Fabric</x:v>
      </x:c>
      <x:c r="C35" s="83" t="str">
        <x:v>Retained requirement</x:v>
      </x:c>
      <x:c r="D35" s="83" t="str">
        <x:v>EVT</x:v>
      </x:c>
      <x:c r="E35" s="83" t="str">
        <x:v>6, 8</x:v>
      </x:c>
      <x:c r="F35" s="83" t="str">
        <x:v>Implementation split across listed work-package groups; external capabilities remain eligibility gated.</x:v>
      </x:c>
    </x:row>
    <x:row r="36" ht="70" customHeight="1">
      <x:c r="A36" s="83" t="n">
        <x:v>31</x:v>
      </x:c>
      <x:c r="B36" s="83" t="str">
        <x:v>External webhooks</x:v>
      </x:c>
      <x:c r="C36" s="83" t="str">
        <x:v>Retained requirement</x:v>
      </x:c>
      <x:c r="D36" s="83" t="str">
        <x:v>WHK</x:v>
      </x:c>
      <x:c r="E36" s="83" t="str">
        <x:v>16</x:v>
      </x:c>
      <x:c r="F36" s="83" t="str">
        <x:v>Implementation split across listed work-package groups; external capabilities remain eligibility gated.</x:v>
      </x:c>
    </x:row>
    <x:row r="37" ht="70" customHeight="1">
      <x:c r="A37" s="83" t="n">
        <x:v>32</x:v>
      </x:c>
      <x:c r="B37" s="83" t="str">
        <x:v>One-click application integrations</x:v>
      </x:c>
      <x:c r="C37" s="83" t="str">
        <x:v>Retained requirement</x:v>
      </x:c>
      <x:c r="D37" s="83" t="str">
        <x:v>INT</x:v>
      </x:c>
      <x:c r="E37" s="83" t="str">
        <x:v>22</x:v>
      </x:c>
      <x:c r="F37" s="83" t="str">
        <x:v>Implementation split across listed work-package groups; external capabilities remain eligibility gated.</x:v>
      </x:c>
    </x:row>
    <x:row r="38" ht="70" customHeight="1">
      <x:c r="A38" s="83" t="n">
        <x:v>33</x:v>
      </x:c>
      <x:c r="B38" s="83" t="str">
        <x:v>Custom integration from an API spec</x:v>
      </x:c>
      <x:c r="C38" s="83" t="str">
        <x:v>Retained requirement</x:v>
      </x:c>
      <x:c r="D38" s="83" t="str">
        <x:v>INT</x:v>
      </x:c>
      <x:c r="E38" s="83" t="str">
        <x:v>22</x:v>
      </x:c>
      <x:c r="F38" s="83" t="str">
        <x:v>Implementation split across listed work-package groups; external capabilities remain eligibility gated.</x:v>
      </x:c>
    </x:row>
    <x:row r="39" ht="70" customHeight="1">
      <x:c r="A39" s="83" t="n">
        <x:v>34</x:v>
      </x:c>
      <x:c r="B39" s="83" t="str">
        <x:v>Turn any Mission into an API</x:v>
      </x:c>
      <x:c r="C39" s="83" t="str">
        <x:v>Retained requirement</x:v>
      </x:c>
      <x:c r="D39" s="83" t="str">
        <x:v>DEV,MIS</x:v>
      </x:c>
      <x:c r="E39" s="83" t="str">
        <x:v>22, 31</x:v>
      </x:c>
      <x:c r="F39" s="83" t="str">
        <x:v>Implementation split across listed work-package groups; external capabilities remain eligibility gated.</x:v>
      </x:c>
    </x:row>
    <x:row r="40" ht="70" customHeight="1">
      <x:c r="A40" s="83" t="n">
        <x:v>35</x:v>
      </x:c>
      <x:c r="B40" s="83" t="str">
        <x:v>Support Center</x:v>
      </x:c>
      <x:c r="C40" s="83" t="str">
        <x:v>Retained requirement</x:v>
      </x:c>
      <x:c r="D40" s="83" t="str">
        <x:v>SUP</x:v>
      </x:c>
      <x:c r="E40" s="83" t="str">
        <x:v>26</x:v>
      </x:c>
      <x:c r="F40" s="83" t="str">
        <x:v>Implementation split across listed work-package groups; external capabilities remain eligibility gated.</x:v>
      </x:c>
    </x:row>
    <x:row r="41" ht="70" customHeight="1">
      <x:c r="A41" s="83" t="n">
        <x:v>36</x:v>
      </x:c>
      <x:c r="B41" s="83" t="str">
        <x:v>AI support should understand the platform state</x:v>
      </x:c>
      <x:c r="C41" s="83" t="str">
        <x:v>Retained requirement</x:v>
      </x:c>
      <x:c r="D41" s="83" t="str">
        <x:v>SUP</x:v>
      </x:c>
      <x:c r="E41" s="83" t="str">
        <x:v>26</x:v>
      </x:c>
      <x:c r="F41" s="83" t="str">
        <x:v>Implementation split across listed work-package groups; external capabilities remain eligibility gated.</x:v>
      </x:c>
    </x:row>
    <x:row r="42" ht="70" customHeight="1">
      <x:c r="A42" s="83" t="n">
        <x:v>37</x:v>
      </x:c>
      <x:c r="B42" s="83" t="str">
        <x:v>One-click diagnostics</x:v>
      </x:c>
      <x:c r="C42" s="83" t="str">
        <x:v>Retained requirement</x:v>
      </x:c>
      <x:c r="D42" s="83" t="str">
        <x:v>SUP,OPS</x:v>
      </x:c>
      <x:c r="E42" s="83" t="str">
        <x:v>26, 30</x:v>
      </x:c>
      <x:c r="F42" s="83" t="str">
        <x:v>Implementation split across listed work-package groups; external capabilities remain eligibility gated.</x:v>
      </x:c>
    </x:row>
    <x:row r="43" ht="70" customHeight="1">
      <x:c r="A43" s="83" t="n">
        <x:v>38</x:v>
      </x:c>
      <x:c r="B43" s="83" t="str">
        <x:v>Workflow Doctor</x:v>
      </x:c>
      <x:c r="C43" s="83" t="str">
        <x:v>Retained requirement</x:v>
      </x:c>
      <x:c r="D43" s="83" t="str">
        <x:v>SIM</x:v>
      </x:c>
      <x:c r="E43" s="83" t="str">
        <x:v>20</x:v>
      </x:c>
      <x:c r="F43" s="83" t="str">
        <x:v>Implementation split across listed work-package groups; external capabilities remain eligibility gated.</x:v>
      </x:c>
    </x:row>
    <x:row r="44" ht="70" customHeight="1">
      <x:c r="A44" s="83" t="n">
        <x:v>39</x:v>
      </x:c>
      <x:c r="B44" s="83" t="str">
        <x:v>Provider Change → automatic impact flow</x:v>
      </x:c>
      <x:c r="C44" s="83" t="str">
        <x:v>Retained requirement</x:v>
      </x:c>
      <x:c r="D44" s="83" t="str">
        <x:v>SIM</x:v>
      </x:c>
      <x:c r="E44" s="83" t="str">
        <x:v>20</x:v>
      </x:c>
      <x:c r="F44" s="83" t="str">
        <x:v>Implementation split across listed work-package groups; external capabilities remain eligibility gated.</x:v>
      </x:c>
    </x:row>
    <x:row r="45" ht="70" customHeight="1">
      <x:c r="A45" s="83" t="n">
        <x:v>40</x:v>
      </x:c>
      <x:c r="B45" s="83" t="str">
        <x:v>Command Center</x:v>
      </x:c>
      <x:c r="C45" s="83" t="str">
        <x:v>Retained requirement</x:v>
      </x:c>
      <x:c r="D45" s="83" t="str">
        <x:v>UX,BIL</x:v>
      </x:c>
      <x:c r="E45" s="83" t="str">
        <x:v>25, 30</x:v>
      </x:c>
      <x:c r="F45" s="83" t="str">
        <x:v>Implementation split across listed work-package groups; external capabilities remain eligibility gated.</x:v>
      </x:c>
    </x:row>
    <x:row r="46" ht="70" customHeight="1">
      <x:c r="A46" s="83" t="n">
        <x:v>41</x:v>
      </x:c>
      <x:c r="B46" s="83" t="str">
        <x:v>Recommended full navigation</x:v>
      </x:c>
      <x:c r="C46" s="83" t="str">
        <x:v>Retained requirement</x:v>
      </x:c>
      <x:c r="D46" s="83" t="str">
        <x:v>UX</x:v>
      </x:c>
      <x:c r="E46" s="83" t="str">
        <x:v>2, 32</x:v>
      </x:c>
      <x:c r="F46" s="83" t="str">
        <x:v>Implementation split across listed work-package groups; external capabilities remain eligibility gated.</x:v>
      </x:c>
    </x:row>
    <x:row r="47" ht="70" customHeight="1">
      <x:c r="A47" s="83" t="n">
        <x:v>42</x:v>
      </x:c>
      <x:c r="B47" s="83" t="str">
        <x:v>Production architecture</x:v>
      </x:c>
      <x:c r="C47" s="83" t="str">
        <x:v>Retained requirement</x:v>
      </x:c>
      <x:c r="D47" s="83" t="str">
        <x:v>PLT,OPS</x:v>
      </x:c>
      <x:c r="E47" s="83" t="str">
        <x:v>4, 5</x:v>
      </x:c>
      <x:c r="F47" s="83" t="str">
        <x:v>Implementation split across listed work-package groups; external capabilities remain eligibility gated.</x:v>
      </x:c>
    </x:row>
    <x:row r="48" ht="70" customHeight="1">
      <x:c r="A48" s="83" t="n">
        <x:v>43</x:v>
      </x:c>
      <x:c r="B48" s="83" t="str">
        <x:v>Storage architecture</x:v>
      </x:c>
      <x:c r="C48" s="83" t="str">
        <x:v>Retained requirement</x:v>
      </x:c>
      <x:c r="D48" s="83" t="str">
        <x:v>DAT</x:v>
      </x:c>
      <x:c r="E48" s="83" t="str">
        <x:v>7</x:v>
      </x:c>
      <x:c r="F48" s="83" t="str">
        <x:v>Implementation split across listed work-package groups; external capabilities remain eligibility gated.</x:v>
      </x:c>
    </x:row>
    <x:row r="49" ht="70" customHeight="1">
      <x:c r="A49" s="83" t="n">
        <x:v>44</x:v>
      </x:c>
      <x:c r="B49" s="83" t="str">
        <x:v>Service architecture</x:v>
      </x:c>
      <x:c r="C49" s="83" t="str">
        <x:v>Retained requirement</x:v>
      </x:c>
      <x:c r="D49" s="83" t="str">
        <x:v>PLT,OPS</x:v>
      </x:c>
      <x:c r="E49" s="83" t="str">
        <x:v>32</x:v>
      </x:c>
      <x:c r="F49" s="83" t="str">
        <x:v>Implementation split across listed work-package groups; external capabilities remain eligibility gated.</x:v>
      </x:c>
    </x:row>
    <x:row r="50" ht="70" customHeight="1">
      <x:c r="A50" s="83" t="n">
        <x:v>45</x:v>
      </x:c>
      <x:c r="B50" s="83" t="str">
        <x:v>Reliability model</x:v>
      </x:c>
      <x:c r="C50" s="83" t="str">
        <x:v>Retained requirement</x:v>
      </x:c>
      <x:c r="D50" s="83" t="str">
        <x:v>EVT,ACT,QAT</x:v>
      </x:c>
      <x:c r="E50" s="83" t="str">
        <x:v>8, 9, 14</x:v>
      </x:c>
      <x:c r="F50" s="83" t="str">
        <x:v>Implementation split across listed work-package groups; external capabilities remain eligibility gated.</x:v>
      </x:c>
    </x:row>
    <x:row r="51" ht="70" customHeight="1">
      <x:c r="A51" s="83" t="n">
        <x:v>46</x:v>
      </x:c>
      <x:c r="B51" s="83" t="str">
        <x:v>Security architecture</x:v>
      </x:c>
      <x:c r="C51" s="83" t="str">
        <x:v>Retained requirement</x:v>
      </x:c>
      <x:c r="D51" s="83" t="str">
        <x:v>SEC</x:v>
      </x:c>
      <x:c r="E51" s="83" t="str">
        <x:v>28</x:v>
      </x:c>
      <x:c r="F51" s="83" t="str">
        <x:v>Implementation split across listed work-package groups; external capabilities remain eligibility gated.</x:v>
      </x:c>
    </x:row>
    <x:row r="52" ht="70" customHeight="1">
      <x:c r="A52" s="83" t="n">
        <x:v>47</x:v>
      </x:c>
      <x:c r="B52" s="83" t="str">
        <x:v>India + global privacy strategy</x:v>
      </x:c>
      <x:c r="C52" s="83" t="str">
        <x:v>Retained requirement</x:v>
      </x:c>
      <x:c r="D52" s="83" t="str">
        <x:v>SEC</x:v>
      </x:c>
      <x:c r="E52" s="83" t="str">
        <x:v>27, 28</x:v>
      </x:c>
      <x:c r="F52" s="83" t="str">
        <x:v>Implementation split across listed work-package groups; external capabilities remain eligibility gated.</x:v>
      </x:c>
    </x:row>
    <x:row r="53" ht="70" customHeight="1">
      <x:c r="A53" s="83" t="n">
        <x:v>48</x:v>
      </x:c>
      <x:c r="B53" s="83" t="str">
        <x:v>Market penetration: the most important part</x:v>
      </x:c>
      <x:c r="C53" s="83" t="str">
        <x:v>Product context / governed claim</x:v>
      </x:c>
      <x:c r="D53" s="83" t="str">
        <x:v>GOV,ECO</x:v>
      </x:c>
      <x:c r="E53" s="83" t="str">
        <x:v>35</x:v>
      </x:c>
      <x:c r="F53" s="83" t="str">
        <x:v>Not evidence of uniqueness, market penetration or completed capability.</x:v>
      </x:c>
    </x:row>
    <x:row r="54" ht="70" customHeight="1">
      <x:c r="A54" s="83" t="n">
        <x:v>49</x:v>
      </x:c>
      <x:c r="B54" s="83" t="str">
        <x:v>Initial distribution wedge: agencies and resellers</x:v>
      </x:c>
      <x:c r="C54" s="83" t="str">
        <x:v>Retained requirement</x:v>
      </x:c>
      <x:c r="D54" s="83" t="str">
        <x:v>ECO</x:v>
      </x:c>
      <x:c r="E54" s="83" t="str">
        <x:v>2, 35</x:v>
      </x:c>
      <x:c r="F54" s="83" t="str">
        <x:v>Implementation split across listed work-package groups; external capabilities remain eligibility gated.</x:v>
      </x:c>
    </x:row>
    <x:row r="55" ht="70" customHeight="1">
      <x:c r="A55" s="83" t="n">
        <x:v>50</x:v>
      </x:c>
      <x:c r="B55" s="83" t="str">
        <x:v>Second wedge: WhatsApp Business App migration without disruption</x:v>
      </x:c>
      <x:c r="C55" s="83" t="str">
        <x:v>Retained requirement</x:v>
      </x:c>
      <x:c r="D55" s="83" t="str">
        <x:v>WHA</x:v>
      </x:c>
      <x:c r="E55" s="83" t="str">
        <x:v>11</x:v>
      </x:c>
      <x:c r="F55" s="83" t="str">
        <x:v>Implementation split across listed work-package groups; external capabilities remain eligibility gated.</x:v>
      </x:c>
    </x:row>
    <x:row r="56" ht="70" customHeight="1">
      <x:c r="A56" s="83" t="n">
        <x:v>51</x:v>
      </x:c>
      <x:c r="B56" s="83" t="str">
        <x:v>Start with four vertical Missions</x:v>
      </x:c>
      <x:c r="C56" s="83" t="str">
        <x:v>Retained requirement</x:v>
      </x:c>
      <x:c r="D56" s="83" t="str">
        <x:v>ECO,MIS</x:v>
      </x:c>
      <x:c r="E56" s="83" t="str">
        <x:v>17, 35</x:v>
      </x:c>
      <x:c r="F56" s="83" t="str">
        <x:v>Implementation split across listed work-package groups; external capabilities remain eligibility gated.</x:v>
      </x:c>
    </x:row>
    <x:row r="57" ht="70" customHeight="1">
      <x:c r="A57" s="83" t="n">
        <x:v>52</x:v>
      </x:c>
      <x:c r="B57" s="83" t="str">
        <x:v>The onboarding experience must be radically simple</x:v>
      </x:c>
      <x:c r="C57" s="83" t="str">
        <x:v>Retained requirement</x:v>
      </x:c>
      <x:c r="D57" s="83" t="str">
        <x:v>UX,MIS</x:v>
      </x:c>
      <x:c r="E57" s="83" t="str">
        <x:v>10, 17</x:v>
      </x:c>
      <x:c r="F57" s="83" t="str">
        <x:v>Implementation split across listed work-package groups; external capabilities remain eligibility gated.</x:v>
      </x:c>
    </x:row>
    <x:row r="58" ht="70" customHeight="1">
      <x:c r="A58" s="83" t="n">
        <x:v>53</x:v>
      </x:c>
      <x:c r="B58" s="83" t="str">
        <x:v>Pricing strategy for penetration</x:v>
      </x:c>
      <x:c r="C58" s="83" t="str">
        <x:v>Retained requirement</x:v>
      </x:c>
      <x:c r="D58" s="83" t="str">
        <x:v>BIL,ECO</x:v>
      </x:c>
      <x:c r="E58" s="83" t="str">
        <x:v>25</x:v>
      </x:c>
      <x:c r="F58" s="83" t="str">
        <x:v>Implementation split across listed work-package groups; external capabilities remain eligibility gated.</x:v>
      </x:c>
    </x:row>
    <x:row r="59" ht="70" customHeight="1">
      <x:c r="A59" s="83" t="n">
        <x:v>54</x:v>
      </x:c>
      <x:c r="B59" s="83" t="str">
        <x:v>Marketplace creates the second growth engine</x:v>
      </x:c>
      <x:c r="C59" s="83" t="str">
        <x:v>Retained requirement</x:v>
      </x:c>
      <x:c r="D59" s="83" t="str">
        <x:v>ECO,INT</x:v>
      </x:c>
      <x:c r="E59" s="83" t="str">
        <x:v>22, 35</x:v>
      </x:c>
      <x:c r="F59" s="83" t="str">
        <x:v>Implementation split across listed work-package groups; external capabilities remain eligibility gated.</x:v>
      </x:c>
    </x:row>
    <x:row r="60" ht="70" customHeight="1">
      <x:c r="A60" s="83" t="n">
        <x:v>55</x:v>
      </x:c>
      <x:c r="B60" s="83" t="str">
        <x:v>Your data moat</x:v>
      </x:c>
      <x:c r="C60" s="83" t="str">
        <x:v>Retained requirement</x:v>
      </x:c>
      <x:c r="D60" s="83" t="str">
        <x:v>AIG,SEC</x:v>
      </x:c>
      <x:c r="E60" s="83" t="str">
        <x:v>21, 28</x:v>
      </x:c>
      <x:c r="F60" s="83" t="str">
        <x:v>Data-use and shared-model restrictions override any proposed pooled-data moat; legal review required.</x:v>
      </x:c>
    </x:row>
    <x:row r="61" ht="70" customHeight="1">
      <x:c r="A61" s="83" t="n">
        <x:v>56</x:v>
      </x:c>
      <x:c r="B61" s="83" t="str">
        <x:v>What makes this concept defensible</x:v>
      </x:c>
      <x:c r="C61" s="83" t="str">
        <x:v>Product context / governed claim</x:v>
      </x:c>
      <x:c r="D61" s="83" t="str">
        <x:v>GOV,MIS,SIM</x:v>
      </x:c>
      <x:c r="E61" s="83" t="str">
        <x:v>1, 20</x:v>
      </x:c>
      <x:c r="F61" s="83" t="str">
        <x:v>Not evidence of uniqueness, market penetration or completed capability.</x:v>
      </x:c>
    </x:row>
    <x:row r="62" ht="70" customHeight="1">
      <x:c r="A62" s="83" t="n">
        <x:v>57</x:v>
      </x:c>
      <x:c r="B62" s="83" t="str">
        <x:v>How we defend against Meta itself</x:v>
      </x:c>
      <x:c r="C62" s="83" t="str">
        <x:v>Retained requirement</x:v>
      </x:c>
      <x:c r="D62" s="83" t="str">
        <x:v>WHA,AIG</x:v>
      </x:c>
      <x:c r="E62" s="83" t="str">
        <x:v>11, 21, 34</x:v>
      </x:c>
      <x:c r="F62" s="83" t="str">
        <x:v>Optional interoperability only if an official interface/permission is verified; no unsupported API invented.</x:v>
      </x:c>
    </x:row>
    <x:row r="63" ht="70" customHeight="1">
      <x:c r="A63" s="83" t="n">
        <x:v>58</x:v>
      </x:c>
      <x:c r="B63" s="83" t="str">
        <x:v>What we should intentionally NOT build first</x:v>
      </x:c>
      <x:c r="C63" s="83" t="str">
        <x:v>Product context / governed claim</x:v>
      </x:c>
      <x:c r="D63" s="83" t="str">
        <x:v>GOV</x:v>
      </x:c>
      <x:c r="E63" s="83" t="str">
        <x:v>35</x:v>
      </x:c>
      <x:c r="F63" s="83" t="str">
        <x:v>Not evidence of uniqueness, market penetration or completed capability.</x:v>
      </x:c>
    </x:row>
    <x:row r="64" ht="70" customHeight="1">
      <x:c r="A64" s="83" t="n">
        <x:v>59</x:v>
      </x:c>
      <x:c r="B64" s="83" t="str">
        <x:v>Recommended build sequence</x:v>
      </x:c>
      <x:c r="C64" s="83" t="str">
        <x:v>Retained requirement</x:v>
      </x:c>
      <x:c r="D64" s="83" t="str">
        <x:v>GOV,QAT</x:v>
      </x:c>
      <x:c r="E64" s="83" t="str">
        <x:v>35</x:v>
      </x:c>
      <x:c r="F64" s="83" t="str">
        <x:v>Implementation split across listed work-package groups; external capabilities remain eligibility gated.</x:v>
      </x:c>
    </x:row>
    <x:row r="65" ht="70" customHeight="1">
      <x:c r="A65" s="83" t="n">
        <x:v>60</x:v>
      </x:c>
      <x:c r="B65" s="83" t="str">
        <x:v>The single customer flow that should sell the product</x:v>
      </x:c>
      <x:c r="C65" s="83" t="str">
        <x:v>Retained requirement</x:v>
      </x:c>
      <x:c r="D65" s="83" t="str">
        <x:v>MIS,UX</x:v>
      </x:c>
      <x:c r="E65" s="83" t="str">
        <x:v>17, 35</x:v>
      </x:c>
      <x:c r="F65" s="83" t="str">
        <x:v>Implementation split across listed work-package groups; external capabilities remain eligibility gated.</x:v>
      </x:c>
    </x:row>
    <x:row r="66" ht="70" customHeight="1">
      <x:c r="A66" s="83" t="n">
        <x:v>61</x:v>
      </x:c>
      <x:c r="B66" s="83" t="str">
        <x:v>Final definition</x:v>
      </x:c>
      <x:c r="C66" s="83" t="str">
        <x:v>Product context / governed claim</x:v>
      </x:c>
      <x:c r="D66" s="83" t="str">
        <x:v>GOV,MIS</x:v>
      </x:c>
      <x:c r="E66" s="83" t="str">
        <x:v>1, 2, 35</x:v>
      </x:c>
      <x:c r="F66" s="83" t="str">
        <x:v>Not evidence of uniqueness, market penetration or completed capability.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7b0b0d9197f47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90" hidden="0" customWidth="1"/>
    <x:col min="4" max="4" width="76" hidden="0" customWidth="1"/>
    <x:col min="5" max="5" width="34" hidden="0" customWidth="1"/>
  </x:cols>
  <x:sheetData>
    <x:row r="1" ht="34" customHeight="1">
      <x:c r="A1" s="4" t="str">
        <x:v>RESEARCH &amp; SOURCE REGISTER</x:v>
      </x:c>
      <x:c r="B1" s="4"/>
      <x:c r="C1" s="4"/>
      <x:c r="D1" s="4"/>
      <x:c r="E1" s="4"/>
    </x:row>
    <x:row r="2" ht="36" customHeight="1">
      <x:c r="A2" s="11" t="str">
        <x:v>As of 7 September 2026. Retrieval failures and partial text are explicit; reverify provider contracts before release.</x:v>
      </x:c>
      <x:c r="B2" s="11"/>
      <x:c r="C2" s="11"/>
      <x:c r="D2" s="11"/>
      <x:c r="E2" s="11"/>
    </x:row>
    <x:row r="5" ht="30" customHeight="1">
      <x:c r="A5" s="19" t="str">
        <x:v>Source ID</x:v>
      </x:c>
      <x:c r="B5" s="19" t="str">
        <x:v>Source / title</x:v>
      </x:c>
      <x:c r="C5" s="19" t="str">
        <x:v>URL / uploaded filename</x:v>
      </x:c>
      <x:c r="D5" s="19" t="str">
        <x:v>Used for</x:v>
      </x:c>
      <x:c r="E5" s="19" t="str">
        <x:v>Retrieval status</x:v>
      </x:c>
    </x:row>
    <x:row r="6" ht="84" customHeight="1">
      <x:c r="A6" s="83" t="str">
        <x:v>S01</x:v>
      </x:c>
      <x:c r="B6" s="83" t="str">
        <x:v>Approved user scope</x:v>
      </x:c>
      <x:c r="C6" s="83" t="str">
        <x:v>Pasted markdown(20260906-222954).md</x:v>
      </x:c>
      <x:c r="D6" s="83" t="str">
        <x:v>User-provided baseline; product scope, not independent verification</x:v>
      </x:c>
      <x:c r="E6" s="83" t="str">
        <x:v>Uploaded source</x:v>
      </x:c>
    </x:row>
    <x:row r="7" ht="84" customHeight="1">
      <x:c r="A7" s="83" t="str">
        <x:v>S02</x:v>
      </x:c>
      <x:c r="B7" s="83" t="str">
        <x:v>WhatsApp partner ecosystem</x:v>
      </x:c>
      <x:c r="C7" s="83" t="str">
        <x:v>https://whatsappbusiness.com/partners/become-a-partner/</x:v>
      </x:c>
      <x:c r="D7" s="83" t="str">
        <x:v>Tech Provider path; Solution Partner credit-line distinction</x:v>
      </x:c>
      <x:c r="E7" s="83" t="str">
        <x:v>Read</x:v>
      </x:c>
    </x:row>
    <x:row r="8" ht="84" customHeight="1">
      <x:c r="A8" s="83" t="str">
        <x:v>S03</x:v>
      </x:c>
      <x:c r="B8" s="83" t="str">
        <x:v>WhatsApp Business Messaging Policy</x:v>
      </x:c>
      <x:c r="C8" s="83" t="str">
        <x:v>https://whatsappbusiness.com/policy/</x:v>
      </x:c>
      <x:c r="D8" s="83" t="str">
        <x:v>Consent, service window, templates, escalation, restricted uses</x:v>
      </x:c>
      <x:c r="E8" s="83" t="str">
        <x:v>Read</x:v>
      </x:c>
    </x:row>
    <x:row r="9" ht="84" customHeight="1">
      <x:c r="A9" s="83" t="str">
        <x:v>S04</x:v>
      </x:c>
      <x:c r="B9" s="83" t="str">
        <x:v>WhatsApp Business Solution Terms</x:v>
      </x:c>
      <x:c r="C9" s="83" t="str">
        <x:v>https://www.whatsapp.com/legal/business-solution-terms</x:v>
      </x:c>
      <x:c r="D9" s="83" t="str">
        <x:v>March 6, 2026 text; AI/data-processing restrictions require legal release review</x:v>
      </x:c>
      <x:c r="E9" s="83" t="str">
        <x:v>Read</x:v>
      </x:c>
    </x:row>
    <x:row r="10" ht="84" customHeight="1">
      <x:c r="A10" s="83" t="str">
        <x:v>S05</x:v>
      </x:c>
      <x:c r="B10" s="83" t="str">
        <x:v>WhatsApp platform pricing</x:v>
      </x:c>
      <x:c r="C10" s="83" t="str">
        <x:v>https://whatsappbusiness.com/products/platform-pricing/</x:v>
      </x:c>
      <x:c r="D10" s="83" t="str">
        <x:v>Delivered-message charging and category/market pricing; do not freeze rate cards</x:v>
      </x:c>
      <x:c r="E10" s="83" t="str">
        <x:v>Read</x:v>
      </x:c>
    </x:row>
    <x:row r="11" ht="84" customHeight="1">
      <x:c r="A11" s="83" t="str">
        <x:v>S06</x:v>
      </x:c>
      <x:c r="B11" s="83" t="str">
        <x:v>WhatsApp Developer Hub</x:v>
      </x:c>
      <x:c r="C11" s="83" t="str">
        <x:v>https://whatsappbusiness.com/developers/developer-hub/</x:v>
      </x:c>
      <x:c r="D11" s="83" t="str">
        <x:v>Official entry points for API, webhooks, limits, enforcement and changes</x:v>
      </x:c>
      <x:c r="E11" s="83" t="str">
        <x:v>Read</x:v>
      </x:c>
    </x:row>
    <x:row r="12" ht="84" customHeight="1">
      <x:c r="A12" s="83" t="str">
        <x:v>S07</x:v>
      </x:c>
      <x:c r="B12" s="83" t="str">
        <x:v>WhatsApp Calling announcement</x:v>
      </x:c>
      <x:c r="C12" s="83" t="str">
        <x:v>https://whatsappbusiness.com/blog/whatsapp-business-calling-api/</x:v>
      </x:c>
      <x:c r="D12" s="83" t="str">
        <x:v>Calling and business-initiated permission; endpoint details separately gated</x:v>
      </x:c>
      <x:c r="E12" s="83" t="str">
        <x:v>Read</x:v>
      </x:c>
    </x:row>
    <x:row r="13" ht="84" customHeight="1">
      <x:c r="A13" s="83" t="str">
        <x:v>S08</x:v>
      </x:c>
      <x:c r="B13" s="83" t="str">
        <x:v>Tech Provider onboarding</x:v>
      </x:c>
      <x:c r="C13" s="83" t="str">
        <x:v>https://developers.facebook.com/documentation/business-messaging/whatsapp/solution-providers/get-started-for-tech-providers/</x:v>
      </x:c>
      <x:c r="D13" s="83" t="str">
        <x:v>Exact dashboard checklist must be captured during implementation</x:v>
      </x:c>
      <x:c r="E13" s="83" t="str">
        <x:v>Not retrieved: cache/HTTP restriction</x:v>
      </x:c>
    </x:row>
    <x:row r="14" ht="84" customHeight="1">
      <x:c r="A14" s="83" t="str">
        <x:v>S09</x:v>
      </x:c>
      <x:c r="B14" s="83" t="str">
        <x:v>WhatsApp Cloud API overview</x:v>
      </x:c>
      <x:c r="C14" s="83" t="str">
        <x:v>https://developers.facebook.com/docs/whatsapp/cloud-api/overview</x:v>
      </x:c>
      <x:c r="D14" s="83" t="str">
        <x:v>Throughput, app/asset quotas and retry horizon must be revalidated</x:v>
      </x:c>
      <x:c r="E14" s="83" t="str">
        <x:v>Not retrieved: HTTP 429</x:v>
      </x:c>
    </x:row>
    <x:row r="15" ht="84" customHeight="1">
      <x:c r="A15" s="83" t="str">
        <x:v>S10</x:v>
      </x:c>
      <x:c r="B15" s="83" t="str">
        <x:v>Embedded Signup overview</x:v>
      </x:c>
      <x:c r="C15" s="83" t="str">
        <x:v>https://developers.facebook.com/documentation/business-messaging/whatsapp/embedded-signup/overview</x:v>
      </x:c>
      <x:c r="D15" s="83" t="str">
        <x:v>Configuration version and customer-token exchange contract require live validation</x:v>
      </x:c>
      <x:c r="E15" s="83" t="str">
        <x:v>Not retrieved: HTTP restriction</x:v>
      </x:c>
    </x:row>
    <x:row r="16" ht="84" customHeight="1">
      <x:c r="A16" s="83" t="str">
        <x:v>S11</x:v>
      </x:c>
      <x:c r="B16" s="83" t="str">
        <x:v>Meta Graph Webhooks setup</x:v>
      </x:c>
      <x:c r="C16" s="83" t="str">
        <x:v>https://developers.facebook.com/docs/graph-api/webhooks/getting-started</x:v>
      </x:c>
      <x:c r="D16" s="83" t="str">
        <x:v>Challenge/signature adapter must be verified against live Meta fixtures</x:v>
      </x:c>
      <x:c r="E16" s="83" t="str">
        <x:v>Not retrieved: HTTP restriction</x:v>
      </x:c>
    </x:row>
    <x:row r="17" ht="84" customHeight="1">
      <x:c r="A17" s="83" t="str">
        <x:v>S12</x:v>
      </x:c>
      <x:c r="B17" s="83" t="str">
        <x:v>Meta-maintained Instagram API collection</x:v>
      </x:c>
      <x:c r="C17" s="83" t="str">
        <x:v>https://www.postman.com/meta/instagram/documentation/6yqw8pt/instagram-api</x:v>
      </x:c>
      <x:c r="D17" s="83" t="str">
        <x:v>Collection retrieved; selected scope/endpoint details not fully exposed in render</x:v>
      </x:c>
      <x:c r="E17" s="83" t="str">
        <x:v>Partial</x:v>
      </x:c>
    </x:row>
    <x:row r="18" ht="84" customHeight="1">
      <x:c r="A18" s="83" t="str">
        <x:v>S13</x:v>
      </x:c>
      <x:c r="B18" s="83" t="str">
        <x:v>Telegram Bot API</x:v>
      </x:c>
      <x:c r="C18" s="83" t="str">
        <x:v>https://core.telegram.org/bots/api</x:v>
      </x:c>
      <x:c r="D18" s="83" t="str">
        <x:v>Update IDs, secret-token webhook auth, HTTPS, retries and supported events</x:v>
      </x:c>
      <x:c r="E18" s="83" t="str">
        <x:v>Read</x:v>
      </x:c>
    </x:row>
    <x:row r="19" ht="84" customHeight="1">
      <x:c r="A19" s="83" t="str">
        <x:v>S14</x:v>
      </x:c>
      <x:c r="B19" s="83" t="str">
        <x:v>Telegram connected business bots</x:v>
      </x:c>
      <x:c r="C19" s="83" t="str">
        <x:v>https://core.telegram.org/api/bots/connected-business-bots</x:v>
      </x:c>
      <x:c r="D19" s="83" t="str">
        <x:v>Business connection rights and account-controlled integration</x:v>
      </x:c>
      <x:c r="E19" s="83" t="str">
        <x:v>Read</x:v>
      </x:c>
    </x:row>
    <x:row r="20" ht="84" customHeight="1">
      <x:c r="A20" s="83" t="str">
        <x:v>S15</x:v>
      </x:c>
      <x:c r="B20" s="83" t="str">
        <x:v>AWS cell-based architecture</x:v>
      </x:c>
      <x:c r="C20" s="83" t="str">
        <x:v>https://docs.aws.amazon.com/wellarchitected/latest/reducing-scope-of-impact-with-cell-based-architecture/what-is-a-cell-based-architecture.html</x:v>
      </x:c>
      <x:c r="D20" s="83" t="str">
        <x:v>Fault-isolated cells, thin routing and control plane</x:v>
      </x:c>
      <x:c r="E20" s="83" t="str">
        <x:v>Read</x:v>
      </x:c>
    </x:row>
    <x:row r="21" ht="84" customHeight="1">
      <x:c r="A21" s="83" t="str">
        <x:v>S16</x:v>
      </x:c>
      <x:c r="B21" s="83" t="str">
        <x:v>AWS cell design</x:v>
      </x:c>
      <x:c r="C21" s="83" t="str">
        <x:v>https://docs.aws.amazon.com/wellarchitected/latest/reducing-scope-of-impact-with-cell-based-architecture/cell-design.html</x:v>
      </x:c>
      <x:c r="D21" s="83" t="str">
        <x:v>Minimize cross-cell state and dependencies</x:v>
      </x:c>
      <x:c r="E21" s="83" t="str">
        <x:v>Read</x:v>
      </x:c>
    </x:row>
    <x:row r="22" ht="84" customHeight="1">
      <x:c r="A22" s="83" t="str">
        <x:v>S17</x:v>
      </x:c>
      <x:c r="B22" s="83" t="str">
        <x:v>Apache Kafka design</x:v>
      </x:c>
      <x:c r="C22" s="83" t="str">
        <x:v>https://kafka.apache.org/41/design/design/</x:v>
      </x:c>
      <x:c r="D22" s="83" t="str">
        <x:v>Partition ordering, producer/consumer semantics, transactions boundaries</x:v>
      </x:c>
      <x:c r="E22" s="83" t="str">
        <x:v>Read; versioned documentation, not a latest-version claim</x:v>
      </x:c>
    </x:row>
    <x:row r="23" ht="84" customHeight="1">
      <x:c r="A23" s="83" t="str">
        <x:v>S18</x:v>
      </x:c>
      <x:c r="B23" s="83" t="str">
        <x:v>Apache Kafka producer configuration</x:v>
      </x:c>
      <x:c r="C23" s="83" t="str">
        <x:v>https://kafka.apache.org/41/configuration/producer-configs/</x:v>
      </x:c>
      <x:c r="D23" s="83" t="str">
        <x:v>Acknowledgements and producer idempotence configuration</x:v>
      </x:c>
      <x:c r="E23" s="83" t="str">
        <x:v>Read; versioned documentation</x:v>
      </x:c>
    </x:row>
    <x:row r="24" ht="84" customHeight="1">
      <x:c r="A24" s="83" t="str">
        <x:v>S19</x:v>
      </x:c>
      <x:c r="B24" s="83" t="str">
        <x:v>Temporal execution model</x:v>
      </x:c>
      <x:c r="C24" s="83" t="str">
        <x:v>https://docs.temporal.io/workflow-execution</x:v>
      </x:c>
      <x:c r="D24" s="83" t="str">
        <x:v>Durable workflow execution</x:v>
      </x:c>
      <x:c r="E24" s="83" t="str">
        <x:v>Read</x:v>
      </x:c>
    </x:row>
    <x:row r="25" ht="84" customHeight="1">
      <x:c r="A25" s="83" t="str">
        <x:v>S20</x:v>
      </x:c>
      <x:c r="B25" s="83" t="str">
        <x:v>Temporal Continue-As-New</x:v>
      </x:c>
      <x:c r="C25" s="83" t="str">
        <x:v>https://docs.temporal.io/develop/go/workflows/continue-as-new</x:v>
      </x:c>
      <x:c r="D25" s="83" t="str">
        <x:v>Bound workflow histories and retain logical execution identity</x:v>
      </x:c>
      <x:c r="E25" s="83" t="str">
        <x:v>Read</x:v>
      </x:c>
    </x:row>
    <x:row r="26" ht="84" customHeight="1">
      <x:c r="A26" s="83" t="str">
        <x:v>S21</x:v>
      </x:c>
      <x:c r="B26" s="83" t="str">
        <x:v>PostgreSQL row security</x:v>
      </x:c>
      <x:c r="C26" s="83" t="str">
        <x:v>https://www.postgresql.org/docs/current/ddl-rowsecurity.html</x:v>
      </x:c>
      <x:c r="D26" s="83" t="str">
        <x:v>RLS policies, owners and bypass caveats</x:v>
      </x:c>
      <x:c r="E26" s="83" t="str">
        <x:v>Read</x:v>
      </x:c>
    </x:row>
    <x:row r="27" ht="84" customHeight="1">
      <x:c r="A27" s="83" t="str">
        <x:v>S22</x:v>
      </x:c>
      <x:c r="B27" s="83" t="str">
        <x:v>DynamoDB transactions</x:v>
      </x:c>
      <x:c r="C27" s="83" t="str">
        <x:v>https://docs.aws.amazon.com/amazondynamodb/latest/developerguide/transaction-apis.html</x:v>
      </x:c>
      <x:c r="D27" s="83" t="str">
        <x:v>Atomic conditional state updates and transaction scope</x:v>
      </x:c>
      <x:c r="E27" s="83" t="str">
        <x:v>Read</x:v>
      </x:c>
    </x:row>
    <x:row r="28" ht="84" customHeight="1">
      <x:c r="A28" s="83" t="str">
        <x:v>S23</x:v>
      </x:c>
      <x:c r="B28" s="83" t="str">
        <x:v>DynamoDB partition design</x:v>
      </x:c>
      <x:c r="C28" s="83" t="str">
        <x:v>https://docs.aws.amazon.com/amazondynamodb/latest/developerguide/bp-partition-key-design.html</x:v>
      </x:c>
      <x:c r="D28" s="83" t="str">
        <x:v>Distributed keys and hot-key limits</x:v>
      </x:c>
      <x:c r="E28" s="83" t="str">
        <x:v>Read</x:v>
      </x:c>
    </x:row>
    <x:row r="29" ht="84" customHeight="1">
      <x:c r="A29" s="83" t="str">
        <x:v>S24</x:v>
      </x:c>
      <x:c r="B29" s="83" t="str">
        <x:v>DynamoDB Streams</x:v>
      </x:c>
      <x:c r="C29" s="83" t="str">
        <x:v>https://docs.aws.amazon.com/amazondynamodb/latest/developerguide/Streams.html</x:v>
      </x:c>
      <x:c r="D29" s="83" t="str">
        <x:v>CDC; 24-hour stream retention needs independent outbox recovery</x:v>
      </x:c>
      <x:c r="E29" s="83" t="str">
        <x:v>Read</x:v>
      </x:c>
    </x:row>
    <x:row r="30" ht="84" customHeight="1">
      <x:c r="A30" s="83" t="str">
        <x:v>S25</x:v>
      </x:c>
      <x:c r="B30" s="83" t="str">
        <x:v>DynamoDB TTL</x:v>
      </x:c>
      <x:c r="C30" s="83" t="str">
        <x:v>https://docs.aws.amazon.com/amazondynamodb/latest/developerguide/TTL.html</x:v>
      </x:c>
      <x:c r="D30" s="83" t="str">
        <x:v>TTL expiry is asynchronous, not a security authorization check</x:v>
      </x:c>
      <x:c r="E30" s="83" t="str">
        <x:v>Read</x:v>
      </x:c>
    </x:row>
    <x:row r="31" ht="84" customHeight="1">
      <x:c r="A31" s="83" t="str">
        <x:v>S26</x:v>
      </x:c>
      <x:c r="B31" s="83" t="str">
        <x:v>DynamoDB read consistency</x:v>
      </x:c>
      <x:c r="C31" s="83" t="str">
        <x:v>https://docs.aws.amazon.com/amazondynamodb/latest/developerguide/HowItWorks.ReadConsistency.html</x:v>
      </x:c>
      <x:c r="D31" s="83" t="str">
        <x:v>Strong reads on base table; indexes/replicas have differing semantics</x:v>
      </x:c>
      <x:c r="E31" s="83" t="str">
        <x:v>Read</x:v>
      </x:c>
    </x:row>
    <x:row r="32" ht="84" customHeight="1">
      <x:c r="A32" s="83" t="str">
        <x:v>S27</x:v>
      </x:c>
      <x:c r="B32" s="83" t="str">
        <x:v>S3 Object Lock</x:v>
      </x:c>
      <x:c r="C32" s="83" t="str">
        <x:v>https://docs.aws.amazon.com/AmazonS3/latest/userguide/object-lock.html</x:v>
      </x:c>
      <x:c r="D32" s="83" t="str">
        <x:v>WORM retention; avoid locking deletable customer bodies</x:v>
      </x:c>
      <x:c r="E32" s="83" t="str">
        <x:v>Read</x:v>
      </x:c>
    </x:row>
    <x:row r="33" ht="84" customHeight="1">
      <x:c r="A33" s="83" t="str">
        <x:v>S28</x:v>
      </x:c>
      <x:c r="B33" s="83" t="str">
        <x:v>React Flow</x:v>
      </x:c>
      <x:c r="C33" s="83" t="str">
        <x:v>https://reactflow.dev/learn</x:v>
      </x:c>
      <x:c r="D33" s="83" t="str">
        <x:v>Canvas component for an owned workflow product; not an execution engine</x:v>
      </x:c>
      <x:c r="E33" s="83" t="str">
        <x:v>Read</x:v>
      </x:c>
    </x:row>
    <x:row r="34" ht="84" customHeight="1">
      <x:c r="A34" s="83" t="str">
        <x:v>S29</x:v>
      </x:c>
      <x:c r="B34" s="83" t="str">
        <x:v>MCP security practices</x:v>
      </x:c>
      <x:c r="C34" s="83" t="str">
        <x:v>https://modelcontextprotocol.io/docs/2025-11-25/tutorials/security/security_best_practices</x:v>
      </x:c>
      <x:c r="D34" s="83" t="str">
        <x:v>Token handling, authorization and confused-deputy defenses</x:v>
      </x:c>
      <x:c r="E34" s="83" t="str">
        <x:v>Read; versioned specification</x:v>
      </x:c>
    </x:row>
    <x:row r="35" ht="84" customHeight="1">
      <x:c r="A35" s="83" t="str">
        <x:v>S30</x:v>
      </x:c>
      <x:c r="B35" s="83" t="str">
        <x:v>OWASP ASVS</x:v>
      </x:c>
      <x:c r="C35" s="83" t="str">
        <x:v>https://owasp.org/www-project-application-security-verification-standard/</x:v>
      </x:c>
      <x:c r="D35" s="83" t="str">
        <x:v>Application verification baseline</x:v>
      </x:c>
      <x:c r="E35" s="83" t="str">
        <x:v>Read</x:v>
      </x:c>
    </x:row>
    <x:row r="36" ht="84" customHeight="1">
      <x:c r="A36" s="83" t="str">
        <x:v>S31</x:v>
      </x:c>
      <x:c r="B36" s="83" t="str">
        <x:v>OWASP SSRF prevention</x:v>
      </x:c>
      <x:c r="C36" s="83" t="str">
        <x:v>https://cheatsheetseries.owasp.org/cheatsheets/Server_Side_Request_Forgery_Prevention_Cheat_Sheet.html</x:v>
      </x:c>
      <x:c r="D36" s="83" t="str">
        <x:v>Outbound HTTP/webhook destination protection</x:v>
      </x:c>
      <x:c r="E36" s="83" t="str">
        <x:v>Read</x:v>
      </x:c>
    </x:row>
    <x:row r="37" ht="84" customHeight="1">
      <x:c r="A37" s="83" t="str">
        <x:v>S32</x:v>
      </x:c>
      <x:c r="B37" s="83" t="str">
        <x:v>Amazon EKS security</x:v>
      </x:c>
      <x:c r="C37" s="83" t="str">
        <x:v>https://docs.aws.amazon.com/eks/latest/best-practices/security.html</x:v>
      </x:c>
      <x:c r="D37" s="83" t="str">
        <x:v>Cluster and workload security responsibilities</x:v>
      </x:c>
      <x:c r="E37" s="83" t="str">
        <x:v>Read</x:v>
      </x:c>
    </x:row>
    <x:row r="38" ht="84" customHeight="1">
      <x:c r="A38" s="83" t="str">
        <x:v>S33</x:v>
      </x:c>
      <x:c r="B38" s="83" t="str">
        <x:v>OpenTelemetry primer</x:v>
      </x:c>
      <x:c r="C38" s="83" t="str">
        <x:v>https://opentelemetry.io/docs/concepts/observability-primer/</x:v>
      </x:c>
      <x:c r="D38" s="83" t="str">
        <x:v>Traces, metrics and logs</x:v>
      </x:c>
      <x:c r="E38" s="83" t="str">
        <x:v>Read</x:v>
      </x:c>
    </x:row>
    <x:row r="39" ht="84" customHeight="1">
      <x:c r="A39" s="83" t="str">
        <x:v>S34</x:v>
      </x:c>
      <x:c r="B39" s="83" t="str">
        <x:v>India data-protection framework</x:v>
      </x:c>
      <x:c r="C39" s="83" t="str">
        <x:v>https://www.meity.gov.in/data-protection-framework</x:v>
      </x:c>
      <x:c r="D39" s="83" t="str">
        <x:v>Counsel must verify commencement and applicable obligations</x:v>
      </x:c>
      <x:c r="E39" s="83" t="str">
        <x:v>Landing page only; substantive text unavailable</x:v>
      </x:c>
    </x:row>
    <x:row r="40" ht="84" customHeight="1">
      <x:c r="A40" s="83" t="str">
        <x:v>S35</x:v>
      </x:c>
      <x:c r="B40" s="83" t="str">
        <x:v>GDPR official legislation</x:v>
      </x:c>
      <x:c r="C40" s="83" t="str">
        <x:v>https://eur-lex.europa.eu/eli/reg/2016/679/oj/eng</x:v>
      </x:c>
      <x:c r="D40" s="83" t="str">
        <x:v>Counsel review of applicable controller/processor obligations</x:v>
      </x:c>
      <x:c r="E40" s="83" t="str">
        <x:v>Landing page only; substantive text unavailable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aa4a9b589c0460b"/>
  </x:tableParts>
</x:worksheet>
</file>

<file path=xl/worksheets/sheet9.xml><?xml version="1.0" encoding="utf-8"?>
<worksheet xmlns="http://schemas.openxmlformats.org/spreadsheetml/2006/main">
  <cols>
    <col min="1" max="1" width="110" customWidth="1"/>
  </cols>
  <sheetData>
    <row r="1">
      <c r="A1" t="inlineStr">
        <is>
          <t xml:space="preserve"># INC-014: Windows frontend preview launcher</t>
        </is>
      </c>
    </row>
    <row r="2">
      <c r="A2" t="inlineStr">
        <is>
          <t xml:space="preserve"/>
        </is>
      </c>
    </row>
    <row r="3">
      <c r="A3" t="inlineStr">
        <is>
          <t xml:space="preserve">Date: 8 September 2026. Bounded local frontend utility, related to UX-003;</t>
        </is>
      </c>
    </row>
    <row r="4">
      <c r="A4" t="inlineStr">
        <is>
          <t xml:space="preserve">no original work-package status is certified complete.</t>
        </is>
      </c>
    </row>
    <row r="5">
      <c r="A5" t="inlineStr">
        <is>
          <t xml:space="preserve"/>
        </is>
      </c>
    </row>
    <row r="6">
      <c r="A6" t="inlineStr">
        <is>
          <t xml:space="preserve">The owner requested a one-click `start.bat`. The checkout lacked the frontend</t>
        </is>
      </c>
    </row>
    <row r="7">
      <c r="A7" t="inlineStr">
        <is>
          <t xml:space="preserve">manifest and entry points. The supplied structured-v1 ZIP was found in Downloads;</t>
        </is>
      </c>
    </row>
    <row r="8">
      <c r="A8" t="inlineStr">
        <is>
          <t xml:space="preserve">its SHA-256 is `9fe4185159b137cd94346265dd3e385b5aa9e3803bffbee9b31591a4f6291c23`,</t>
        </is>
      </c>
    </row>
    <row r="9">
      <c r="A9" t="inlineStr">
        <is>
          <t xml:space="preserve">exactly matching the persistent source register. The baseline tracker was also</t>
        </is>
      </c>
    </row>
    <row r="10">
      <c r="A10" t="inlineStr">
        <is>
          <t xml:space="preserve">found locally with its registered SHA-256. No re-upload was needed.</t>
        </is>
      </c>
    </row>
    <row r="11">
      <c r="A11" t="inlineStr">
        <is>
          <t xml:space="preserve"/>
        </is>
      </c>
    </row>
    <row r="12">
      <c r="A12" t="inlineStr">
        <is>
          <t xml:space="preserve">## Changed paths and value</t>
        </is>
      </c>
    </row>
    <row r="13">
      <c r="A13" t="inlineStr">
        <is>
          <t xml:space="preserve"/>
        </is>
      </c>
    </row>
    <row r="14">
      <c r="A14" t="inlineStr">
        <is>
          <t xml:space="preserve">- `start.bat`: location-independent Windows entry point, Node/npm prerequisite</t>
        </is>
      </c>
    </row>
    <row r="15">
      <c r="A15" t="inlineStr">
        <is>
          <t xml:space="preserve">  checks, locked `npm ci` on first launch, existing `dev:frontend` command and</t>
        </is>
      </c>
    </row>
    <row r="16">
      <c r="A16" t="inlineStr">
        <is>
          <t xml:space="preserve">  browser opening at `http://127.0.0.1:5174/frontend-preview`. Port conflicts fail</t>
        </is>
      </c>
    </row>
    <row r="17">
      <c r="A17" t="inlineStr">
        <is>
          <t xml:space="preserve">  visibly; Ctrl+C stops the foreground server. Error messages remain visible.</t>
        </is>
      </c>
    </row>
    <row r="18">
      <c r="A18" t="inlineStr">
        <is>
          <t xml:space="preserve">- `front end/`: restore 232 missing archive files and the supplied lockfile.</t>
        </is>
      </c>
    </row>
    <row r="19">
      <c r="A19" t="inlineStr">
        <is>
          <t xml:space="preserve">  The empty untracked lockfile was backed up to</t>
        </is>
      </c>
    </row>
    <row r="20">
      <c r="A20" t="inlineStr">
        <is>
          <t xml:space="preserve">  `.local-build/package-lock.before-frontend-restore.json` before restoration.</t>
        </is>
      </c>
    </row>
    <row r="21">
      <c r="A21" t="inlineStr">
        <is>
          <t xml:space="preserve">  All 238 frontend archive paths are present; 233 are byte-identical to the ZIP.</t>
        </is>
      </c>
    </row>
    <row r="22">
      <c r="A22" t="inlineStr">
        <is>
          <t xml:space="preserve">  The five differing tracked files were preserved: `src/contracts/types.d.ts`,</t>
        </is>
      </c>
    </row>
    <row r="23">
      <c r="A23" t="inlineStr">
        <is>
          <t xml:space="preserve">  `src/features/implementation/ImplementationCenter.jsx`,</t>
        </is>
      </c>
    </row>
    <row r="24">
      <c r="A24" t="inlineStr">
        <is>
          <t xml:space="preserve">  `src/shared/forms/validation.js`, `src/shared/state/drafts.js` and</t>
        </is>
      </c>
    </row>
    <row r="25">
      <c r="A25" t="inlineStr">
        <is>
          <t xml:space="preserve">  `src/shared/ui/PageLayout.jsx`. Existing backend and frontend source was not edited.</t>
        </is>
      </c>
    </row>
    <row r="26">
      <c r="A26" t="inlineStr">
        <is>
          <t xml:space="preserve">- `README.md`, `front end/docs/publication/STATUS.md`, this record and the Excel</t>
        </is>
      </c>
    </row>
    <row r="27">
      <c r="A27" t="inlineStr">
        <is>
          <t xml:space="preserve">  evidence workbook document usage, restoration and actual checks.</t>
        </is>
      </c>
    </row>
    <row r="28">
      <c r="A28" t="inlineStr">
        <is>
          <t xml:space="preserve"/>
        </is>
      </c>
    </row>
    <row r="29">
      <c r="A29" t="inlineStr">
        <is>
          <t xml:space="preserve">## Validation</t>
        </is>
      </c>
    </row>
    <row r="30">
      <c r="A30" t="inlineStr">
        <is>
          <t xml:space="preserve"/>
        </is>
      </c>
    </row>
    <row r="31">
      <c r="A31" t="inlineStr">
        <is>
          <t xml:space="preserve">Node 24.18.0 / npm 11.16.0, Windows. Correct-directory `npm ci --no-audit --no-fund`</t>
        </is>
      </c>
    </row>
    <row r="32">
      <c r="A32" t="inlineStr">
        <is>
          <t xml:space="preserve">installed 263 packages without lockfile changes. An earlier invocation from the</t>
        </is>
      </c>
    </row>
    <row r="33">
      <c r="A33" t="inlineStr">
        <is>
          <t xml:space="preserve">repository root failed because no root lockfile exists; it made no source changes.</t>
        </is>
      </c>
    </row>
    <row r="34">
      <c r="A34" t="inlineStr">
        <is>
          <t xml:space="preserve">The npm install reported an esbuild install-script policy warning; no npm policy</t>
        </is>
      </c>
    </row>
    <row r="35">
      <c r="A35" t="inlineStr">
        <is>
          <t xml:space="preserve">or lifecycle-script approval setting was changed.</t>
        </is>
      </c>
    </row>
    <row r="36">
      <c r="A36" t="inlineStr">
        <is>
          <t xml:space="preserve"/>
        </is>
      </c>
    </row>
    <row r="37">
      <c r="A37" t="inlineStr">
        <is>
          <t xml:space="preserve">- `npm run audit:frontend`: 55 features, 231 parameters, 262 work packages,</t>
        </is>
      </c>
    </row>
    <row r="38">
      <c r="A38" t="inlineStr">
        <is>
          <t xml:space="preserve">  449 imports, zero errors.</t>
        </is>
      </c>
    </row>
    <row r="39">
      <c r="A39" t="inlineStr">
        <is>
          <t xml:space="preserve">- `npm run test:contracts`: 180 passed, zero failed/skipped.</t>
        </is>
      </c>
    </row>
    <row r="40">
      <c r="A40" t="inlineStr">
        <is>
          <t xml:space="preserve">- `npm test`: two files, three tests passed.</t>
        </is>
      </c>
    </row>
    <row r="41">
      <c r="A41" t="inlineStr">
        <is>
          <t xml:space="preserve">- `npm run build`: passed, 2,921 modules transformed.</t>
        </is>
      </c>
    </row>
    <row r="42">
      <c r="A42" t="inlineStr">
        <is>
          <t xml:space="preserve">- `npm run test:e2e`: seven passed, two failed, one skipped. Both failures are</t>
        </is>
      </c>
    </row>
    <row r="43">
      <c r="A43" t="inlineStr">
        <is>
          <t xml:space="preserve">  the mission draft reload assertion at `e2e/frontend/frontend.spec.js:24`:</t>
        </is>
      </c>
    </row>
    <row r="44">
      <c r="A44" t="inlineStr">
        <is>
          <t xml:space="preserve">  expected `example-ref`, actual `Appointment follow-up`, desktop and mobile.</t>
        </is>
      </c>
    </row>
    <row r="45">
      <c r="A45" t="inlineStr">
        <is>
          <t xml:space="preserve">  The skip is the desktop-inapplicable mobile navigation test. The suite and</t>
        </is>
      </c>
    </row>
    <row r="46">
      <c r="A46" t="inlineStr">
        <is>
          <t xml:space="preserve">  application were left unchanged; this is an outstanding acceptance gate.</t>
        </is>
      </c>
    </row>
    <row r="47">
      <c r="A47" t="inlineStr">
        <is>
          <t xml:space="preserve">- Executed the actual `start.bat` from outside the repository. Vite started</t>
        </is>
      </c>
    </row>
    <row r="48">
      <c r="A48" t="inlineStr">
        <is>
          <t xml:space="preserve">  successfully on loopback port 5174 using the documented preview route.</t>
        </is>
      </c>
    </row>
    <row r="49">
      <c r="A49" t="inlineStr">
        <is>
          <t xml:space="preserve"/>
        </is>
      </c>
    </row>
    <row r="50">
      <c r="A50" t="inlineStr">
        <is>
          <t xml:space="preserve">## Scope and remaining gates</t>
        </is>
      </c>
    </row>
    <row r="51">
      <c r="A51" t="inlineStr">
        <is>
          <t xml:space="preserve"/>
        </is>
      </c>
    </row>
    <row r="52">
      <c r="A52" t="inlineStr">
        <is>
          <t xml:space="preserve">No framework, dependency versions, APIs, authentication, authorization, provider</t>
        </is>
      </c>
    </row>
    <row r="53">
      <c r="A53" t="inlineStr">
        <is>
          <t xml:space="preserve">integration, CI/CD, infrastructure, migration, test gate or release policy changes.</t>
        </is>
      </c>
    </row>
    <row r="54">
      <c r="A54" t="inlineStr">
        <is>
          <t xml:space="preserve">The launcher invokes the existing preview command with strict port selection.</t>
        </is>
      </c>
    </row>
    <row r="55">
      <c r="A55" t="inlineStr">
        <is>
          <t xml:space="preserve">Source restoration uses the owner's existing main-only frontend publication scope.</t>
        </is>
      </c>
    </row>
    <row r="56">
      <c r="A56" t="inlineStr">
        <is>
          <t xml:space="preserve">No publisher from the ZIP was run, and no review branch was created.</t>
        </is>
      </c>
    </row>
    <row r="57">
      <c r="A57" t="inlineStr">
        <is>
          <t xml:space="preserve"/>
        </is>
      </c>
    </row>
    <row r="58">
      <c r="A58" t="inlineStr">
        <is>
          <t xml:space="preserve">The preview remains draft-only. The complete backend/runtime, original live</t>
        </is>
      </c>
    </row>
    <row r="59">
      <c r="A59" t="inlineStr">
        <is>
          <t xml:space="preserve">integration environment, independent security review and production release remain</t>
        </is>
      </c>
    </row>
    <row r="60">
      <c r="A60" t="inlineStr">
        <is>
          <t xml:space="preserve">unconnected/unverified. Go is not installed here, and the diagnostic host is not</t>
        </is>
      </c>
    </row>
    <row r="61">
      <c r="A61" t="inlineStr">
        <is>
          <t xml:space="preserve">started by this frontend launcher. The separate original-import snapshot/history</t>
        </is>
      </c>
    </row>
    <row r="62">
      <c r="A62" t="inlineStr">
        <is>
          <t xml:space="preserve">in issue #1 is not delivered by this increment. UX-001 remains open. No parent</t>
        </is>
      </c>
    </row>
    <row r="63">
      <c r="A63" t="inlineStr">
        <is>
          <t xml:space="preserve">work-package status or predecessor order was modified.</t>
        </is>
      </c>
    </row>
    <row r="64">
      <c r="A64" t="inlineStr">
        <is>
          <t xml:space="preserve"/>
        </is>
      </c>
    </row>
    <row r="65">
      <c r="A65" t="inlineStr">
        <is>
          <t xml:space="preserve">Rollback: revert this source increment on main with a normal commit. The original</t>
        </is>
      </c>
    </row>
    <row r="66">
      <c r="A66" t="inlineStr">
        <is>
          <t xml:space="preserve">ZIP and baseline workbook in Downloads remain untouched. The source register's</t>
        </is>
      </c>
    </row>
    <row r="67">
      <c r="A67" t="inlineStr">
        <is>
          <t xml:space="preserve">ChatGPT Library is not mounted in this session; the updated workbook is delivered</t>
        </is>
      </c>
    </row>
    <row r="68">
      <c r="A68" t="inlineStr">
        <is>
          <t xml:space="preserve">in `docs/delivery/INC-014_EVIDENCE.xlsx`, with original baseline sheets preserved.</t>
        </is>
      </c>
    </row>
    <row r="69">
      <c r="A69" t="inlineStr">
        <is>
          <t xml:space="preserve"/>
        </is>
      </c>
    </row>
    <row r="70">
      <c r="A70" t="inlineStr">
        <is>
          <t xml:space="preserve">Browser smoke: HTTP 200; Implementation center visible; zero page errors.</t>
        </is>
      </c>
    </row>
    <row r="71">
      <c r="A71" t="inlineStr">
        <is>
          <t xml:space="preserve">Publication: main; remote verification reported after source push.</t>
        </is>
      </c>
    </row>
    <row r="72">
      <c r="A72" t="inlineStr">
        <is>
          <t xml:space="preserve">Original eight baseline sheets and all original work-package statuses preserved.</t>
        </is>
      </c>
    </row>
  </sheetData>
</worksheet>
</file>